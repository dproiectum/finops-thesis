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4c6e544ef334d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4355cf3b1bc24f45"/>
    <x:sheet xmlns:r="http://schemas.openxmlformats.org/officeDocument/2006/relationships" name="Gantt" sheetId="2" r:id="Rf4ac3cfa79054855"/>
    <x:sheet xmlns:r="http://schemas.openxmlformats.org/officeDocument/2006/relationships" name="Milestones" sheetId="3" r:id="Rcaedc8f07d194a81"/>
    <x:sheet xmlns:r="http://schemas.openxmlformats.org/officeDocument/2006/relationships" name="Sources" sheetId="4" r:id="R5433b060cfa8452b"/>
    <x:sheet xmlns:r="http://schemas.openxmlformats.org/officeDocument/2006/relationships" name="WBS" sheetId="5" r:id="R9c9dc0dcd3ae428c"/>
    <x:sheet xmlns:r="http://schemas.openxmlformats.org/officeDocument/2006/relationships" name="Daily Gantt" sheetId="6" r:id="Rc308be450ab145d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dd mmm"/>
    <x:numFmt numFmtId="201" formatCode="yyyy-mm-dd"/>
    <x:numFmt numFmtId="202" formatCode="@"/>
    <x:numFmt numFmtId="203" formatCode="dd"/>
  </x:numFmts>
  <x:fonts count="14">
    <x:font>
      <x:sz val="11"/>
      <x:name val="Carlito"/>
    </x:font>
    <x:font>
      <x:sz val="10"/>
      <x:color rgb="FF243041"/>
      <x:name val="Arial"/>
    </x:font>
    <x:font>
      <x:b/>
      <x:sz val="15"/>
      <x:color rgb="FF1F334D"/>
      <x:name val="Arial"/>
    </x:font>
    <x:font>
      <x:i/>
      <x:sz val="10"/>
      <x:color rgb="FF59697B"/>
      <x:name val="Arial"/>
    </x:font>
    <x:font>
      <x:b/>
      <x:sz val="10"/>
      <x:color rgb="FFFFFFFF"/>
      <x:name val="Arial"/>
    </x:font>
    <x:font>
      <x:sz val="15"/>
      <x:color rgb="FF1F334D"/>
      <x:name val="Arial"/>
    </x:font>
    <x:font>
      <x:sz val="15"/>
      <x:color rgb="FF315F98"/>
      <x:name val="Arial"/>
    </x:font>
    <x:font>
      <x:sz val="15"/>
      <x:color rgb="FF16734A"/>
      <x:name val="Arial"/>
    </x:font>
    <x:font>
      <x:sz val="15"/>
      <x:color rgb="FFB47206"/>
      <x:name val="Arial"/>
    </x:font>
    <x:font>
      <x:sz val="15"/>
      <x:color rgb="FF687484"/>
      <x:name val="Arial"/>
    </x:font>
    <x:font>
      <x:sz val="12"/>
      <x:color rgb="FF315F98"/>
      <x:name val="Arial"/>
    </x:font>
    <x:font>
      <x:sz val="12"/>
      <x:color rgb="FF16734A"/>
      <x:name val="Arial"/>
    </x:font>
    <x:font>
      <x:sz val="12"/>
      <x:color rgb="FFB47206"/>
      <x:name val="Arial"/>
    </x:font>
    <x:font>
      <x:sz val="12"/>
      <x:color rgb="FF687484"/>
      <x:name val="Arial"/>
    </x:font>
  </x:fonts>
  <x:fills count="15">
    <x:fill>
      <x:patternFill patternType="none"/>
    </x:fill>
    <x:fill>
      <x:patternFill patternType="gray125"/>
    </x:fill>
    <x:fill>
      <x:patternFill patternType="solid">
        <x:fgColor rgb="FF1F334D"/>
      </x:patternFill>
    </x:fill>
    <x:fill>
      <x:patternFill patternType="solid">
        <x:fgColor rgb="FFCBE8D6"/>
      </x:patternFill>
    </x:fill>
    <x:fill>
      <x:patternFill patternType="solid">
        <x:fgColor rgb="FFD7E7FA"/>
      </x:patternFill>
    </x:fill>
    <x:fill>
      <x:patternFill patternType="solid">
        <x:fgColor rgb="FFFFE7B3"/>
      </x:patternFill>
    </x:fill>
    <x:fill>
      <x:patternFill patternType="solid">
        <x:fgColor rgb="FFE6E8EB"/>
      </x:patternFill>
    </x:fill>
    <x:fill>
      <x:patternFill patternType="solid">
        <x:fgColor rgb="FFF3F6F9"/>
      </x:patternFill>
    </x:fill>
    <x:fill>
      <x:patternFill patternType="solid">
        <x:fgColor rgb="FFF3F6F9"/>
      </x:patternFill>
    </x:fill>
    <x:fill>
      <x:patternFill patternType="solid">
        <x:fgColor rgb="FF1F334D"/>
      </x:patternFill>
    </x:fill>
    <x:fill>
      <x:patternFill patternType="solid">
        <x:fgColor rgb="FFD7E7FA"/>
      </x:patternFill>
    </x:fill>
    <x:fill>
      <x:patternFill patternType="solid">
        <x:fgColor rgb="FFCBE8D6"/>
      </x:patternFill>
    </x:fill>
    <x:fill>
      <x:patternFill patternType="solid">
        <x:fgColor rgb="FFFFE7B3"/>
      </x:patternFill>
    </x:fill>
    <x:fill>
      <x:patternFill patternType="solid">
        <x:fgColor rgb="FFE6E8EB"/>
      </x:patternFill>
    </x:fill>
    <x:fill>
      <x:patternFill patternType="solid">
        <x:fgColor rgb="FF46576B"/>
      </x:patternFill>
    </x:fill>
  </x:fills>
  <x:borders count="2">
    <x:border/>
    <x:border>
      <x:bottom style="thin">
        <x:color rgb="FFDAE2EA"/>
      </x:bottom>
    </x:border>
  </x:borders>
  <x:cellStyleXfs count="1">
    <x:xf numFmtId="0" fontId="0" fillId="0" borderId="0"/>
  </x:cellStyleXfs>
  <x:cellXfs count="5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4" borderId="0" xfId="0" applyNumberFormat="1" applyFont="1" applyFill="1" applyBorder="1"/>
    <x:xf numFmtId="0" fontId="1" fillId="5" borderId="0" xfId="0" applyNumberFormat="1" applyFont="1" applyFill="1" applyBorder="1"/>
    <x:xf numFmtId="0" fontId="1" fillId="6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/>
    <x:xf numFmtId="200" fontId="1" fillId="2" borderId="0" xfId="0" applyNumberFormat="1" applyFont="1" applyFill="1" applyBorder="1"/>
    <x:xf numFmtId="200" fontId="4" fillId="2" borderId="0" xfId="0" applyNumberFormat="1" applyFont="1" applyFill="1" applyBorder="1"/>
    <x:xf numFmtId="200" fontId="4" fillId="2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/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horizontal="center"/>
    </x:xf>
    <x:xf numFmtId="0" fontId="5" fillId="0" borderId="0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/>
    </x:xf>
    <x:xf numFmtId="0" fontId="1" fillId="7" borderId="0" xfId="0" applyNumberFormat="1" applyFont="1" applyFill="1" applyBorder="1"/>
    <x:xf numFmtId="201" fontId="1" fillId="7" borderId="0" xfId="0" applyNumberFormat="1" applyFont="1" applyFill="1" applyBorder="1"/>
    <x:xf numFmtId="0" fontId="8" fillId="0" borderId="0" xfId="0" applyNumberFormat="1" applyFont="1" applyFill="1" applyBorder="1" applyAlignment="1">
      <x:alignment horizontal="center" vertical="center"/>
    </x:xf>
    <x:xf numFmtId="0" fontId="9" fillId="0" borderId="0" xfId="0" applyNumberFormat="1" applyFont="1" applyFill="1" applyBorder="1" applyAlignment="1">
      <x:alignment horizontal="center" vertical="center"/>
    </x:xf>
    <x:xf numFmtId="0" fontId="1" fillId="8" borderId="0" xfId="0" applyNumberFormat="1" applyFont="1" applyFill="1" applyBorder="1"/>
    <x:xf numFmtId="0" fontId="0" fillId="8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9" borderId="0" xfId="0" applyNumberFormat="1" applyFont="1" applyFill="1" applyBorder="1"/>
    <x:xf numFmtId="0" fontId="4" fillId="9" borderId="0" xfId="0" applyNumberFormat="1" applyFont="1" applyFill="1" applyBorder="1"/>
    <x:xf numFmtId="0" fontId="4" fillId="9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/>
    <x:xf numFmtId="0" fontId="1" fillId="10" borderId="0" xfId="0" applyNumberFormat="1" applyFont="1" applyFill="1" applyBorder="1"/>
    <x:xf numFmtId="202" fontId="1" fillId="8" borderId="0" xfId="0" applyNumberFormat="1" applyFont="1" applyFill="1" applyBorder="1"/>
    <x:xf numFmtId="201" fontId="1" fillId="8" borderId="0" xfId="0" applyNumberFormat="1" applyFont="1" applyFill="1" applyBorder="1"/>
    <x:xf numFmtId="0" fontId="1" fillId="11" borderId="0" xfId="0" applyNumberFormat="1" applyFont="1" applyFill="1" applyBorder="1"/>
    <x:xf numFmtId="0" fontId="1" fillId="12" borderId="0" xfId="0" applyNumberFormat="1" applyFont="1" applyFill="1" applyBorder="1"/>
    <x:xf numFmtId="0" fontId="1" fillId="13" borderId="0" xfId="0" applyNumberFormat="1" applyFont="1" applyFill="1" applyBorder="1"/>
    <x:xf numFmtId="203" fontId="1" fillId="0" borderId="0" xfId="0" applyNumberFormat="1" applyFont="1" applyFill="1" applyBorder="1"/>
    <x:xf numFmtId="203" fontId="1" fillId="9" borderId="0" xfId="0" applyNumberFormat="1" applyFont="1" applyFill="1" applyBorder="1"/>
    <x:xf numFmtId="203" fontId="4" fillId="9" borderId="0" xfId="0" applyNumberFormat="1" applyFont="1" applyFill="1" applyBorder="1"/>
    <x:xf numFmtId="203" fontId="4" fillId="9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horizontal="center"/>
    </x:xf>
    <x:xf numFmtId="0" fontId="1" fillId="0" borderId="0" xfId="0" applyNumberFormat="1" applyFont="1" applyFill="1" applyBorder="1" applyAlignment="1">
      <x:alignment horizontal="center" vertical="center"/>
    </x:xf>
    <x:xf numFmtId="0" fontId="10" fillId="0" borderId="0" xfId="0" applyNumberFormat="1" applyFont="1" applyFill="1" applyBorder="1" applyAlignment="1">
      <x:alignment horizontal="center" vertical="center"/>
    </x:xf>
    <x:xf numFmtId="0" fontId="11" fillId="0" borderId="0" xfId="0" applyNumberFormat="1" applyFont="1" applyFill="1" applyBorder="1" applyAlignment="1">
      <x:alignment horizontal="center" vertical="center"/>
    </x:xf>
    <x:xf numFmtId="0" fontId="12" fillId="0" borderId="0" xfId="0" applyNumberFormat="1" applyFont="1" applyFill="1" applyBorder="1" applyAlignment="1">
      <x:alignment horizontal="center" vertical="center"/>
    </x:xf>
    <x:xf numFmtId="0" fontId="13" fillId="0" borderId="0" xfId="0" applyNumberFormat="1" applyFont="1" applyFill="1" applyBorder="1" applyAlignment="1">
      <x:alignment horizontal="center" vertical="center"/>
    </x:xf>
    <x:xf numFmtId="203" fontId="4" fillId="14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77e03b2c14f77" /><Relationship Type="http://schemas.openxmlformats.org/officeDocument/2006/relationships/theme" Target="/xl/theme/theme1.xml" Id="R0a855b1bb01d429c" /><Relationship Type="http://schemas.openxmlformats.org/officeDocument/2006/relationships/sharedStrings" Target="/xl/sharedStrings.xml" Id="Rb6ae0e2ce3b943cc" /><Relationship Type="http://schemas.openxmlformats.org/officeDocument/2006/relationships/worksheet" Target="/xl/worksheets/sheet1.xml" Id="R4355cf3b1bc24f45" /><Relationship Type="http://schemas.openxmlformats.org/officeDocument/2006/relationships/worksheet" Target="/xl/worksheets/sheet2.xml" Id="Rf4ac3cfa79054855" /><Relationship Type="http://schemas.openxmlformats.org/officeDocument/2006/relationships/worksheet" Target="/xl/worksheets/sheet3.xml" Id="Rcaedc8f07d194a81" /><Relationship Type="http://schemas.openxmlformats.org/officeDocument/2006/relationships/worksheet" Target="/xl/worksheets/sheet4.xml" Id="R5433b060cfa8452b" /><Relationship Type="http://schemas.openxmlformats.org/officeDocument/2006/relationships/worksheet" Target="/xl/worksheets/sheet5.xml" Id="R9c9dc0dcd3ae428c" /><Relationship Type="http://schemas.openxmlformats.org/officeDocument/2006/relationships/worksheet" Target="/xl/worksheets/sheet6.xml" Id="Rc308be450ab145d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87" hidden="0" customWidth="1"/>
  </x:cols>
  <x:sheetData>
    <x:row r="1">
      <x:c r="A1" s="2" t="str">
        <x:v>FinOps project timeline</x:v>
      </x:c>
      <x:c r="B1" s="1"/>
      <x:c r="C1" s="1"/>
    </x:row>
    <x:row r="2">
      <x:c r="A2" s="3" t="str">
        <x:v>Thesis-annex working view, 28 September 2026</x:v>
      </x:c>
      <x:c r="B2" s="1"/>
      <x:c r="C2" s="1"/>
    </x:row>
    <x:row r="3">
      <x:c r="A3" s="4"/>
      <x:c r="B3" s="4"/>
      <x:c r="C3" s="4"/>
    </x:row>
    <x:row r="4" ht="26" customHeight="1">
      <x:c r="A4" s="7" t="str">
        <x:v>Field</x:v>
      </x:c>
      <x:c r="B4" s="7" t="str">
        <x:v>Meaning</x:v>
      </x:c>
      <x:c r="C4" s="1"/>
    </x:row>
    <x:row r="5" ht="32" customHeight="1">
      <x:c r="A5" s="1" t="str">
        <x:v>Project</x:v>
      </x:c>
      <x:c r="B5" s="12" t="str">
        <x:v>FinOps Cloud Data Platform: generator, local POC and Databricks/GCP implementation</x:v>
      </x:c>
      <x:c r="C5" s="1"/>
    </x:row>
    <x:row r="6" ht="32" customHeight="1">
      <x:c r="A6" s="1" t="str">
        <x:v>Period</x:v>
      </x:c>
      <x:c r="B6" s="12" t="str">
        <x:v>1–30 September 2026</x:v>
      </x:c>
      <x:c r="C6" s="1"/>
    </x:row>
    <x:row r="7" ht="32" customHeight="1">
      <x:c r="A7" s="1" t="str">
        <x:v>Gantt dates</x:v>
      </x:c>
      <x:c r="B7" s="12" t="str">
        <x:v>Documented activity windows or proposed work windows; they are not measured effort.</x:v>
      </x:c>
      <x:c r="C7" s="1"/>
    </x:row>
    <x:row r="8" ht="32" customHeight="1">
      <x:c r="A8" s="1" t="str">
        <x:v>Cloud dates</x:v>
      </x:c>
      <x:c r="B8" s="12" t="str">
        <x:v>27 September marks the date of the written Belgium status, not a verified execution timestamp.</x:v>
      </x:c>
      <x:c r="C8" s="1"/>
    </x:row>
    <x:row r="9" ht="32" customHeight="1">
      <x:c r="A9" s="1" t="str">
        <x:v>Original baseline</x:v>
      </x:c>
      <x:c r="B9" s="12" t="str">
        <x:v>The 5 September Azure-oriented workbook is retained separately as the initial plan.</x:v>
      </x:c>
      <x:c r="C9" s="1"/>
    </x:row>
    <x:row r="10" ht="32" customHeight="1">
      <x:c r="A10" s="1" t="str">
        <x:v>Use in thesis</x:v>
      </x:c>
      <x:c r="B10" s="12" t="str">
        <x:v>Use the Gantt with its evidence legend; do not present reported cloud runs as independently verified.</x:v>
      </x:c>
      <x:c r="C10" s="1"/>
    </x:row>
    <x:row r="11" ht="32" customHeight="1">
      <x:c r="A11" s="1"/>
      <x:c r="B11" s="12"/>
      <x:c r="C11" s="1"/>
    </x:row>
    <x:row r="12" ht="32" customHeight="1">
      <x:c r="A12" s="7" t="str">
        <x:v>Evidence status</x:v>
      </x:c>
      <x:c r="B12" s="13" t="str">
        <x:v>Interpretation</x:v>
      </x:c>
      <x:c r="C12" s="1"/>
    </x:row>
    <x:row r="13" ht="32" customHeight="1">
      <x:c r="A13" s="8" t="str">
        <x:v>Local validated</x:v>
      </x:c>
      <x:c r="B13" s="12" t="str">
        <x:v>Local test or validation results recorded; no claim about cloud execution.</x:v>
      </x:c>
      <x:c r="C13" s="1"/>
    </x:row>
    <x:row r="14" ht="32" customHeight="1">
      <x:c r="A14" s="9" t="str">
        <x:v>Documented</x:v>
      </x:c>
      <x:c r="B14" s="12" t="str">
        <x:v>Dated planning, code or repository evidence; completion beyond that is not inferred.</x:v>
      </x:c>
      <x:c r="C14" s="1"/>
    </x:row>
    <x:row r="15" ht="32" customHeight="1">
      <x:c r="A15" s="10" t="str">
        <x:v>Cloud reported</x:v>
      </x:c>
      <x:c r="B15" s="12" t="str">
        <x:v>Workspace run described in the Belgium completion note; run-level artifacts are still needed.</x:v>
      </x:c>
      <x:c r="C15" s="1"/>
    </x:row>
    <x:row r="16" ht="32" customHeight="1">
      <x:c r="A16" s="11" t="str">
        <x:v>Planned</x:v>
      </x:c>
      <x:c r="B16" s="12" t="str">
        <x:v>Next step or deadline; no execution claimed.</x:v>
      </x:c>
      <x:c r="C16" s="1"/>
    </x:row>
    <x:row r="17">
      <x:c r="A17" s="1"/>
      <x:c r="B17" s="1"/>
      <x:c r="C17" s="1"/>
    </x:row>
    <x:row r="18" ht="34" customHeight="1">
      <x:c r="A18" s="28" t="str">
        <x:v>Detailed planning</x:v>
      </x:c>
      <x:c r="B18" s="12" t="str">
        <x:v>The WBS sheet lists task-level work. Daily Gantt shows all 30 days of September.</x:v>
      </x:c>
      <x:c r="C18" s="1"/>
    </x:row>
    <x:row r="19" ht="34" customHeight="1">
      <x:c r="A19" s="29" t="str">
        <x:v>Date interpretation</x:v>
      </x:c>
      <x:c r="B19" s="30" t="str">
        <x:v>Documented windows reconstruct dated activity; they are not time logs. Report checkpoints are not execution dates.</x:v>
      </x:c>
    </x:row>
    <x:row r="20" ht="34" customHeight="1">
      <x:c r="A20" s="29" t="str">
        <x:v>Daily view</x:v>
      </x:c>
      <x:c r="B20" s="30" t="str">
        <x:v>Daily markers are formula-driven by WBS start and finish dates. The weekly Gantt remains the compact thesis figure.</x:v>
      </x:c>
    </x:row>
    <x:row r="21" ht="34" customHeight="1">
      <x:c r="A21" s="29" t="str">
        <x:v>Outstanding evidence</x:v>
      </x:c>
      <x:c r="B21" s="30" t="str">
        <x:v>Cloud runs, total platform costs and final submission stay planned or reported until primary records are checked.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8" hidden="0" customWidth="1"/>
    <x:col min="2" max="2" width="37" hidden="0" customWidth="1"/>
    <x:col min="3" max="3" width="13" hidden="0" customWidth="1"/>
    <x:col min="4" max="4" width="13" hidden="0" customWidth="1"/>
    <x:col min="5" max="5" width="18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</x:cols>
  <x:sheetData>
    <x:row r="1">
      <x:c r="A1" s="2" t="str">
        <x:v>Project Gantt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>
      <x:c r="A2" s="3" t="str">
        <x:v>Week-level overview; dates and evidence status are shown at left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</x:row>
    <x:row r="4" ht="26" customHeight="1">
      <x:c r="A4" s="7" t="str">
        <x:v>ID</x:v>
      </x:c>
      <x:c r="B4" s="7" t="str">
        <x:v>Work package</x:v>
      </x:c>
      <x:c r="C4" s="7" t="str">
        <x:v>Start</x:v>
      </x:c>
      <x:c r="D4" s="7" t="str">
        <x:v>Finish</x:v>
      </x:c>
      <x:c r="E4" s="7" t="str">
        <x:v>Evidence</x:v>
      </x:c>
      <x:c r="F4" s="17" t="n">
        <x:v>46266</x:v>
      </x:c>
      <x:c r="G4" s="17" t="n">
        <x:v>46272</x:v>
      </x:c>
      <x:c r="H4" s="17" t="n">
        <x:v>46279</x:v>
      </x:c>
      <x:c r="I4" s="17" t="n">
        <x:v>46286</x:v>
      </x:c>
      <x:c r="J4" s="17" t="n">
        <x:v>46293</x:v>
      </x:c>
    </x:row>
    <x:row r="5" ht="26" customHeight="1">
      <x:c r="A5" s="1" t="str">
        <x:v>P01</x:v>
      </x:c>
      <x:c r="B5" s="1" t="str">
        <x:v>Framing and initial architecture</x:v>
      </x:c>
      <x:c r="C5" s="18" t="n">
        <x:v>46266</x:v>
      </x:c>
      <x:c r="D5" s="18" t="n">
        <x:v>46271</x:v>
      </x:c>
      <x:c r="E5" s="9" t="str">
        <x:v>Documented</x:v>
      </x:c>
      <x:c r="F5" s="22" t="str">
        <x:f>IF(AND(F$4&lt;=$D5,F$4+6&gt;=$C5),"■","")</x:f>
        <x:v>■</x:v>
      </x:c>
      <x:c r="G5" s="22" t="str">
        <x:f>IF(AND(G$4&lt;=$D5,G$4+6&gt;=$C5),"■","")</x:f>
      </x:c>
      <x:c r="H5" s="22" t="str">
        <x:f>IF(AND(H$4&lt;=$D5,H$4+6&gt;=$C5),"■","")</x:f>
      </x:c>
      <x:c r="I5" s="22" t="str">
        <x:f>IF(AND(I$4&lt;=$D5,I$4+6&gt;=$C5),"■","")</x:f>
      </x:c>
      <x:c r="J5" s="22" t="str">
        <x:f>IF(AND(J$4&lt;=$D5,J$4+2&gt;=$C5),"■","")</x:f>
      </x:c>
    </x:row>
    <x:row r="6" ht="26" customHeight="1">
      <x:c r="A6" s="24" t="str">
        <x:v>P02</x:v>
      </x:c>
      <x:c r="B6" s="24" t="str">
        <x:v>Generator and monthly bills</x:v>
      </x:c>
      <x:c r="C6" s="25" t="n">
        <x:v>46269</x:v>
      </x:c>
      <x:c r="D6" s="25" t="n">
        <x:v>46284</x:v>
      </x:c>
      <x:c r="E6" s="8" t="str">
        <x:v>Local validated</x:v>
      </x:c>
      <x:c r="F6" s="23" t="str">
        <x:f>IF(AND(F$4&lt;=$D6,F$4+6&gt;=$C6),"■","")</x:f>
        <x:v>■</x:v>
      </x:c>
      <x:c r="G6" s="23" t="str">
        <x:f>IF(AND(G$4&lt;=$D6,G$4+6&gt;=$C6),"■","")</x:f>
        <x:v>■</x:v>
      </x:c>
      <x:c r="H6" s="23" t="str">
        <x:f>IF(AND(H$4&lt;=$D6,H$4+6&gt;=$C6),"■","")</x:f>
        <x:v>■</x:v>
      </x:c>
      <x:c r="I6" s="23" t="str">
        <x:f>IF(AND(I$4&lt;=$D6,I$4+6&gt;=$C6),"■","")</x:f>
      </x:c>
      <x:c r="J6" s="23" t="str">
        <x:f>IF(AND(J$4&lt;=$D6,J$4+2&gt;=$C6),"■","")</x:f>
      </x:c>
    </x:row>
    <x:row r="7" ht="26" customHeight="1">
      <x:c r="A7" s="1" t="str">
        <x:v>P03</x:v>
      </x:c>
      <x:c r="B7" s="1" t="str">
        <x:v>Local POC and datamarts</x:v>
      </x:c>
      <x:c r="C7" s="18" t="n">
        <x:v>46272</x:v>
      </x:c>
      <x:c r="D7" s="18" t="n">
        <x:v>46284</x:v>
      </x:c>
      <x:c r="E7" s="8" t="str">
        <x:v>Local validated</x:v>
      </x:c>
      <x:c r="F7" s="23" t="str">
        <x:f>IF(AND(F$4&lt;=$D7,F$4+6&gt;=$C7),"■","")</x:f>
        <x:v>■</x:v>
      </x:c>
      <x:c r="G7" s="23" t="str">
        <x:f>IF(AND(G$4&lt;=$D7,G$4+6&gt;=$C7),"■","")</x:f>
        <x:v>■</x:v>
      </x:c>
      <x:c r="H7" s="23" t="str">
        <x:f>IF(AND(H$4&lt;=$D7,H$4+6&gt;=$C7),"■","")</x:f>
        <x:v>■</x:v>
      </x:c>
      <x:c r="I7" s="23" t="str">
        <x:f>IF(AND(I$4&lt;=$D7,I$4+6&gt;=$C7),"■","")</x:f>
      </x:c>
      <x:c r="J7" s="23" t="str">
        <x:f>IF(AND(J$4&lt;=$D7,J$4+2&gt;=$C7),"■","")</x:f>
      </x:c>
    </x:row>
    <x:row r="8" ht="26" customHeight="1">
      <x:c r="A8" s="24" t="str">
        <x:v>P04</x:v>
      </x:c>
      <x:c r="B8" s="24" t="str">
        <x:v>Cloud model and Job code</x:v>
      </x:c>
      <x:c r="C8" s="25" t="n">
        <x:v>46284</x:v>
      </x:c>
      <x:c r="D8" s="25" t="n">
        <x:v>46285</x:v>
      </x:c>
      <x:c r="E8" s="9" t="str">
        <x:v>Documented</x:v>
      </x:c>
      <x:c r="F8" s="22" t="str">
        <x:f>IF(AND(F$4&lt;=$D8,F$4+6&gt;=$C8),"■","")</x:f>
      </x:c>
      <x:c r="G8" s="22" t="str">
        <x:f>IF(AND(G$4&lt;=$D8,G$4+6&gt;=$C8),"■","")</x:f>
      </x:c>
      <x:c r="H8" s="22" t="str">
        <x:f>IF(AND(H$4&lt;=$D8,H$4+6&gt;=$C8),"■","")</x:f>
        <x:v>■</x:v>
      </x:c>
      <x:c r="I8" s="22" t="str">
        <x:f>IF(AND(I$4&lt;=$D8,I$4+6&gt;=$C8),"■","")</x:f>
      </x:c>
      <x:c r="J8" s="22" t="str">
        <x:f>IF(AND(J$4&lt;=$D8,J$4+2&gt;=$C8),"■","")</x:f>
      </x:c>
    </x:row>
    <x:row r="9" ht="26" customHeight="1">
      <x:c r="A9" s="1" t="str">
        <x:v>P05</x:v>
      </x:c>
      <x:c r="B9" s="1" t="str">
        <x:v>Belgium configuration reported</x:v>
      </x:c>
      <x:c r="C9" s="18" t="n">
        <x:v>46292</x:v>
      </x:c>
      <x:c r="D9" s="18" t="n">
        <x:v>46292</x:v>
      </x:c>
      <x:c r="E9" s="10" t="str">
        <x:v>Cloud reported</x:v>
      </x:c>
      <x:c r="F9" s="26" t="str">
        <x:f>IF(AND(F$4&lt;=$D9,F$4+6&gt;=$C9),"■","")</x:f>
      </x:c>
      <x:c r="G9" s="26" t="str">
        <x:f>IF(AND(G$4&lt;=$D9,G$4+6&gt;=$C9),"■","")</x:f>
      </x:c>
      <x:c r="H9" s="26" t="str">
        <x:f>IF(AND(H$4&lt;=$D9,H$4+6&gt;=$C9),"■","")</x:f>
      </x:c>
      <x:c r="I9" s="26" t="str">
        <x:f>IF(AND(I$4&lt;=$D9,I$4+6&gt;=$C9),"■","")</x:f>
        <x:v>■</x:v>
      </x:c>
      <x:c r="J9" s="26" t="str">
        <x:f>IF(AND(J$4&lt;=$D9,J$4+2&gt;=$C9),"■","")</x:f>
      </x:c>
    </x:row>
    <x:row r="10" ht="26" customHeight="1">
      <x:c r="A10" s="24" t="str">
        <x:v>P06</x:v>
      </x:c>
      <x:c r="B10" s="24" t="str">
        <x:v>DEV/PROD backfill reported</x:v>
      </x:c>
      <x:c r="C10" s="25" t="n">
        <x:v>46292</x:v>
      </x:c>
      <x:c r="D10" s="25" t="n">
        <x:v>46292</x:v>
      </x:c>
      <x:c r="E10" s="10" t="str">
        <x:v>Cloud reported</x:v>
      </x:c>
      <x:c r="F10" s="26" t="str">
        <x:f>IF(AND(F$4&lt;=$D10,F$4+6&gt;=$C10),"■","")</x:f>
      </x:c>
      <x:c r="G10" s="26" t="str">
        <x:f>IF(AND(G$4&lt;=$D10,G$4+6&gt;=$C10),"■","")</x:f>
      </x:c>
      <x:c r="H10" s="26" t="str">
        <x:f>IF(AND(H$4&lt;=$D10,H$4+6&gt;=$C10),"■","")</x:f>
      </x:c>
      <x:c r="I10" s="26" t="str">
        <x:f>IF(AND(I$4&lt;=$D10,I$4+6&gt;=$C10),"■","")</x:f>
        <x:v>■</x:v>
      </x:c>
      <x:c r="J10" s="26" t="str">
        <x:f>IF(AND(J$4&lt;=$D10,J$4+2&gt;=$C10),"■","")</x:f>
      </x:c>
    </x:row>
    <x:row r="11" ht="26" customHeight="1">
      <x:c r="A11" s="1" t="str">
        <x:v>P07</x:v>
      </x:c>
      <x:c r="B11" s="1" t="str">
        <x:v>First Daily DEV run reported</x:v>
      </x:c>
      <x:c r="C11" s="18" t="n">
        <x:v>46292</x:v>
      </x:c>
      <x:c r="D11" s="18" t="n">
        <x:v>46292</x:v>
      </x:c>
      <x:c r="E11" s="10" t="str">
        <x:v>Cloud reported</x:v>
      </x:c>
      <x:c r="F11" s="26" t="str">
        <x:f>IF(AND(F$4&lt;=$D11,F$4+6&gt;=$C11),"■","")</x:f>
      </x:c>
      <x:c r="G11" s="26" t="str">
        <x:f>IF(AND(G$4&lt;=$D11,G$4+6&gt;=$C11),"■","")</x:f>
      </x:c>
      <x:c r="H11" s="26" t="str">
        <x:f>IF(AND(H$4&lt;=$D11,H$4+6&gt;=$C11),"■","")</x:f>
      </x:c>
      <x:c r="I11" s="26" t="str">
        <x:f>IF(AND(I$4&lt;=$D11,I$4+6&gt;=$C11),"■","")</x:f>
        <x:v>■</x:v>
      </x:c>
      <x:c r="J11" s="26" t="str">
        <x:f>IF(AND(J$4&lt;=$D11,J$4+2&gt;=$C11),"■","")</x:f>
      </x:c>
    </x:row>
    <x:row r="12" ht="26" customHeight="1">
      <x:c r="A12" s="24" t="str">
        <x:v>P08</x:v>
      </x:c>
      <x:c r="B12" s="24" t="str">
        <x:v>Complete Daily DEV-to-PROD proof</x:v>
      </x:c>
      <x:c r="C12" s="25" t="n">
        <x:v>46293</x:v>
      </x:c>
      <x:c r="D12" s="25" t="n">
        <x:v>46294</x:v>
      </x:c>
      <x:c r="E12" s="11" t="str">
        <x:v>Planned</x:v>
      </x:c>
      <x:c r="F12" s="27" t="str">
        <x:f>IF(AND(F$4&lt;=$D12,F$4+6&gt;=$C12),"■","")</x:f>
      </x:c>
      <x:c r="G12" s="27" t="str">
        <x:f>IF(AND(G$4&lt;=$D12,G$4+6&gt;=$C12),"■","")</x:f>
      </x:c>
      <x:c r="H12" s="27" t="str">
        <x:f>IF(AND(H$4&lt;=$D12,H$4+6&gt;=$C12),"■","")</x:f>
      </x:c>
      <x:c r="I12" s="27" t="str">
        <x:f>IF(AND(I$4&lt;=$D12,I$4+6&gt;=$C12),"■","")</x:f>
      </x:c>
      <x:c r="J12" s="27" t="str">
        <x:f>IF(AND(J$4&lt;=$D12,J$4+2&gt;=$C12),"■","")</x:f>
        <x:v>■</x:v>
      </x:c>
    </x:row>
    <x:row r="13" ht="26" customHeight="1">
      <x:c r="A13" s="1" t="str">
        <x:v>P09</x:v>
      </x:c>
      <x:c r="B13" s="1" t="str">
        <x:v>Classic monthly-close proof</x:v>
      </x:c>
      <x:c r="C13" s="18" t="n">
        <x:v>46293</x:v>
      </x:c>
      <x:c r="D13" s="18" t="n">
        <x:v>46294</x:v>
      </x:c>
      <x:c r="E13" s="11" t="str">
        <x:v>Planned</x:v>
      </x:c>
      <x:c r="F13" s="27" t="str">
        <x:f>IF(AND(F$4&lt;=$D13,F$4+6&gt;=$C13),"■","")</x:f>
      </x:c>
      <x:c r="G13" s="27" t="str">
        <x:f>IF(AND(G$4&lt;=$D13,G$4+6&gt;=$C13),"■","")</x:f>
      </x:c>
      <x:c r="H13" s="27" t="str">
        <x:f>IF(AND(H$4&lt;=$D13,H$4+6&gt;=$C13),"■","")</x:f>
      </x:c>
      <x:c r="I13" s="27" t="str">
        <x:f>IF(AND(I$4&lt;=$D13,I$4+6&gt;=$C13),"■","")</x:f>
      </x:c>
      <x:c r="J13" s="27" t="str">
        <x:f>IF(AND(J$4&lt;=$D13,J$4+2&gt;=$C13),"■","")</x:f>
        <x:v>■</x:v>
      </x:c>
    </x:row>
    <x:row r="14" ht="26" customHeight="1">
      <x:c r="A14" s="24" t="str">
        <x:v>P10</x:v>
      </x:c>
      <x:c r="B14" s="24" t="str">
        <x:v>Databricks and GCP cost attribution</x:v>
      </x:c>
      <x:c r="C14" s="25" t="n">
        <x:v>46293</x:v>
      </x:c>
      <x:c r="D14" s="25" t="n">
        <x:v>46294</x:v>
      </x:c>
      <x:c r="E14" s="11" t="str">
        <x:v>Planned</x:v>
      </x:c>
      <x:c r="F14" s="27" t="str">
        <x:f>IF(AND(F$4&lt;=$D14,F$4+6&gt;=$C14),"■","")</x:f>
      </x:c>
      <x:c r="G14" s="27" t="str">
        <x:f>IF(AND(G$4&lt;=$D14,G$4+6&gt;=$C14),"■","")</x:f>
      </x:c>
      <x:c r="H14" s="27" t="str">
        <x:f>IF(AND(H$4&lt;=$D14,H$4+6&gt;=$C14),"■","")</x:f>
      </x:c>
      <x:c r="I14" s="27" t="str">
        <x:f>IF(AND(I$4&lt;=$D14,I$4+6&gt;=$C14),"■","")</x:f>
      </x:c>
      <x:c r="J14" s="27" t="str">
        <x:f>IF(AND(J$4&lt;=$D14,J$4+2&gt;=$C14),"■","")</x:f>
        <x:v>■</x:v>
      </x:c>
    </x:row>
    <x:row r="15" ht="26" customHeight="1">
      <x:c r="A15" s="1" t="str">
        <x:v>P11</x:v>
      </x:c>
      <x:c r="B15" s="1" t="str">
        <x:v>Thesis evidence and figures</x:v>
      </x:c>
      <x:c r="C15" s="18" t="n">
        <x:v>46292</x:v>
      </x:c>
      <x:c r="D15" s="18" t="n">
        <x:v>46295</x:v>
      </x:c>
      <x:c r="E15" s="9" t="str">
        <x:v>Documented</x:v>
      </x:c>
      <x:c r="F15" s="22" t="str">
        <x:f>IF(AND(F$4&lt;=$D15,F$4+6&gt;=$C15),"■","")</x:f>
      </x:c>
      <x:c r="G15" s="22" t="str">
        <x:f>IF(AND(G$4&lt;=$D15,G$4+6&gt;=$C15),"■","")</x:f>
      </x:c>
      <x:c r="H15" s="22" t="str">
        <x:f>IF(AND(H$4&lt;=$D15,H$4+6&gt;=$C15),"■","")</x:f>
      </x:c>
      <x:c r="I15" s="22" t="str">
        <x:f>IF(AND(I$4&lt;=$D15,I$4+6&gt;=$C15),"■","")</x:f>
        <x:v>■</x:v>
      </x:c>
      <x:c r="J15" s="22" t="str">
        <x:f>IF(AND(J$4&lt;=$D15,J$4+2&gt;=$C15),"■","")</x:f>
        <x:v>■</x:v>
      </x:c>
    </x:row>
    <x:row r="16" ht="26" customHeight="1">
      <x:c r="A16" s="24" t="str">
        <x:v>P12</x:v>
      </x:c>
      <x:c r="B16" s="24" t="str">
        <x:v>Final submission</x:v>
      </x:c>
      <x:c r="C16" s="25" t="n">
        <x:v>46295</x:v>
      </x:c>
      <x:c r="D16" s="25" t="n">
        <x:v>46295</x:v>
      </x:c>
      <x:c r="E16" s="11" t="str">
        <x:v>Planned</x:v>
      </x:c>
      <x:c r="F16" s="27" t="str">
        <x:f>IF(AND(F$4&lt;=$D16,F$4+6&gt;=$C16),"■","")</x:f>
      </x:c>
      <x:c r="G16" s="27" t="str">
        <x:f>IF(AND(G$4&lt;=$D16,G$4+6&gt;=$C16),"■","")</x:f>
      </x:c>
      <x:c r="H16" s="27" t="str">
        <x:f>IF(AND(H$4&lt;=$D16,H$4+6&gt;=$C16),"■","")</x:f>
      </x:c>
      <x:c r="I16" s="27" t="str">
        <x:f>IF(AND(I$4&lt;=$D16,I$4+6&gt;=$C16),"■","")</x:f>
      </x:c>
      <x:c r="J16" s="27" t="str">
        <x:f>IF(AND(J$4&lt;=$D16,J$4+2&gt;=$C16),"■","")</x:f>
        <x:v>■</x:v>
      </x:c>
    </x:row>
    <x:row r="17">
      <x:c r="A17" s="1"/>
      <x:c r="B17" s="1"/>
      <x:c r="C17" s="1"/>
      <x:c r="D17" s="1"/>
      <x:c r="E17" s="1"/>
      <x:c r="F17" s="1"/>
      <x:c r="G17" s="1"/>
      <x:c r="H17" s="1"/>
      <x:c r="I17" s="1"/>
      <x:c r="J17" s="1"/>
    </x:row>
    <x:row r="18">
      <x:c r="A18" s="1" t="str">
        <x:v>S1–S6</x:v>
      </x:c>
      <x:c r="B18" s="1" t="str">
        <x:v>Source notes and limits are in the Sources sheet.</x:v>
      </x:c>
      <x:c r="C18" s="1"/>
      <x:c r="D18" s="1"/>
      <x:c r="E18" s="1"/>
      <x:c r="F18" s="1"/>
      <x:c r="G18" s="1"/>
      <x:c r="H18" s="1"/>
      <x:c r="I18" s="1"/>
      <x:c r="J18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5" hidden="0" customWidth="1"/>
    <x:col min="3" max="3" width="55" hidden="0" customWidth="1"/>
    <x:col min="4" max="4" width="20" hidden="0" customWidth="1"/>
    <x:col min="5" max="5" width="12" hidden="0" customWidth="1"/>
  </x:cols>
  <x:sheetData>
    <x:row r="1">
      <x:c r="A1" s="2" t="str">
        <x:v>Project milestones</x:v>
      </x:c>
      <x:c r="B1" s="1"/>
      <x:c r="C1" s="1"/>
      <x:c r="D1" s="1"/>
      <x:c r="E1" s="1"/>
    </x:row>
    <x:row r="2">
      <x:c r="A2" s="3" t="str">
        <x:v>Documented, reported and planned checkpoints</x:v>
      </x:c>
      <x:c r="B2" s="1"/>
      <x:c r="C2" s="1"/>
      <x:c r="D2" s="1"/>
      <x:c r="E2" s="1"/>
    </x:row>
    <x:row r="3">
      <x:c r="A3" s="4"/>
      <x:c r="B3" s="4"/>
      <x:c r="C3" s="4"/>
      <x:c r="D3" s="4"/>
      <x:c r="E3" s="4"/>
    </x:row>
    <x:row r="4" ht="26" customHeight="1">
      <x:c r="A4" s="7" t="str">
        <x:v>ID</x:v>
      </x:c>
      <x:c r="B4" s="7" t="str">
        <x:v>Date</x:v>
      </x:c>
      <x:c r="C4" s="7" t="str">
        <x:v>Checkpoint</x:v>
      </x:c>
      <x:c r="D4" s="7" t="str">
        <x:v>Evidence</x:v>
      </x:c>
      <x:c r="E4" s="7" t="str">
        <x:v>Source</x:v>
      </x:c>
    </x:row>
    <x:row r="5" ht="25" customHeight="1">
      <x:c r="A5" s="1" t="str">
        <x:v>M01</x:v>
      </x:c>
      <x:c r="B5" s="18" t="n">
        <x:v>46270</x:v>
      </x:c>
      <x:c r="C5" s="1" t="str">
        <x:v>Research framing documented</x:v>
      </x:c>
      <x:c r="D5" s="9" t="str">
        <x:v>Documented</x:v>
      </x:c>
      <x:c r="E5" s="1" t="str">
        <x:v>S1</x:v>
      </x:c>
    </x:row>
    <x:row r="6" ht="25" customHeight="1">
      <x:c r="A6" s="1" t="str">
        <x:v>M02</x:v>
      </x:c>
      <x:c r="B6" s="18" t="n">
        <x:v>46285</x:v>
      </x:c>
      <x:c r="C6" s="1" t="str">
        <x:v>Cloud Gold and datamart code documented</x:v>
      </x:c>
      <x:c r="D6" s="9" t="str">
        <x:v>Documented</x:v>
      </x:c>
      <x:c r="E6" s="1" t="str">
        <x:v>S4</x:v>
      </x:c>
    </x:row>
    <x:row r="7" ht="25" customHeight="1">
      <x:c r="A7" s="1" t="str">
        <x:v>M03</x:v>
      </x:c>
      <x:c r="B7" s="18" t="n">
        <x:v>46292</x:v>
      </x:c>
      <x:c r="C7" s="1" t="str">
        <x:v>Generator and monthly history validated locally</x:v>
      </x:c>
      <x:c r="D7" s="8" t="str">
        <x:v>Local validated</x:v>
      </x:c>
      <x:c r="E7" s="1" t="str">
        <x:v>S2</x:v>
      </x:c>
    </x:row>
    <x:row r="8" ht="25" customHeight="1">
      <x:c r="A8" s="1" t="str">
        <x:v>M04</x:v>
      </x:c>
      <x:c r="B8" s="18" t="n">
        <x:v>46292</x:v>
      </x:c>
      <x:c r="C8" s="1" t="str">
        <x:v>Local POC results documented</x:v>
      </x:c>
      <x:c r="D8" s="8" t="str">
        <x:v>Local validated</x:v>
      </x:c>
      <x:c r="E8" s="1" t="str">
        <x:v>S3</x:v>
      </x:c>
    </x:row>
    <x:row r="9" ht="25" customHeight="1">
      <x:c r="A9" s="1" t="str">
        <x:v>M05</x:v>
      </x:c>
      <x:c r="B9" s="18" t="n">
        <x:v>46292</x:v>
      </x:c>
      <x:c r="C9" s="1" t="str">
        <x:v>Belgium monthly backfill described</x:v>
      </x:c>
      <x:c r="D9" s="10" t="str">
        <x:v>Cloud reported</x:v>
      </x:c>
      <x:c r="E9" s="1" t="str">
        <x:v>S5</x:v>
      </x:c>
    </x:row>
    <x:row r="10" ht="25" customHeight="1">
      <x:c r="A10" s="1" t="str">
        <x:v>M06</x:v>
      </x:c>
      <x:c r="B10" s="18" t="n">
        <x:v>46292</x:v>
      </x:c>
      <x:c r="C10" s="1" t="str">
        <x:v>First Daily DEV load described</x:v>
      </x:c>
      <x:c r="D10" s="10" t="str">
        <x:v>Cloud reported</x:v>
      </x:c>
      <x:c r="E10" s="1" t="str">
        <x:v>S5</x:v>
      </x:c>
    </x:row>
    <x:row r="11" ht="25" customHeight="1">
      <x:c r="A11" s="1" t="str">
        <x:v>M07</x:v>
      </x:c>
      <x:c r="B11" s="18" t="n">
        <x:v>46294</x:v>
      </x:c>
      <x:c r="C11" s="1" t="str">
        <x:v>Collect Daily DEV-to-PROD proof</x:v>
      </x:c>
      <x:c r="D11" s="11" t="str">
        <x:v>Planned</x:v>
      </x:c>
      <x:c r="E11" s="1" t="str">
        <x:v>S5</x:v>
      </x:c>
    </x:row>
    <x:row r="12" ht="25" customHeight="1">
      <x:c r="A12" s="1" t="str">
        <x:v>M08</x:v>
      </x:c>
      <x:c r="B12" s="18" t="n">
        <x:v>46294</x:v>
      </x:c>
      <x:c r="C12" s="1" t="str">
        <x:v>Collect Classic monthly-close proof</x:v>
      </x:c>
      <x:c r="D12" s="11" t="str">
        <x:v>Planned</x:v>
      </x:c>
      <x:c r="E12" s="1" t="str">
        <x:v>S5</x:v>
      </x:c>
    </x:row>
    <x:row r="13" ht="25" customHeight="1">
      <x:c r="A13" s="1" t="str">
        <x:v>M09</x:v>
      </x:c>
      <x:c r="B13" s="18" t="n">
        <x:v>46294</x:v>
      </x:c>
      <x:c r="C13" s="1" t="str">
        <x:v>Assemble comparable cloud-cost evidence</x:v>
      </x:c>
      <x:c r="D13" s="11" t="str">
        <x:v>Planned</x:v>
      </x:c>
      <x:c r="E13" s="1" t="str">
        <x:v>S5</x:v>
      </x:c>
    </x:row>
    <x:row r="14" ht="25" customHeight="1">
      <x:c r="A14" s="1" t="str">
        <x:v>M10</x:v>
      </x:c>
      <x:c r="B14" s="18" t="n">
        <x:v>46295</x:v>
      </x:c>
      <x:c r="C14" s="1" t="str">
        <x:v>Final thesis submission</x:v>
      </x:c>
      <x:c r="D14" s="11" t="str">
        <x:v>Planned</x:v>
      </x:c>
      <x:c r="E14" s="1" t="str">
        <x:v>S1</x:v>
      </x:c>
    </x:row>
    <x:row r="15">
      <x:c r="A15" s="1"/>
      <x:c r="B15" s="1"/>
      <x:c r="C15" s="1"/>
      <x:c r="D15" s="1"/>
      <x:c r="E15" s="1"/>
    </x:row>
    <x:row r="16">
      <x:c r="A16" s="1"/>
      <x:c r="B16" s="1"/>
      <x:c r="C16" s="1"/>
      <x:c r="D16" s="1"/>
      <x:c r="E16" s="1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66" hidden="0" customWidth="1"/>
    <x:col min="3" max="3" width="91" hidden="0" customWidth="1"/>
  </x:cols>
  <x:sheetData>
    <x:row r="1">
      <x:c r="A1" s="2" t="str">
        <x:v>Evidence and limitations</x:v>
      </x:c>
      <x:c r="B1" s="1"/>
      <x:c r="C1" s="1"/>
    </x:row>
    <x:row r="2">
      <x:c r="A2" s="3" t="str">
        <x:v>The status column in the Gantt refers to these source records</x:v>
      </x:c>
      <x:c r="B2" s="1"/>
      <x:c r="C2" s="1"/>
    </x:row>
    <x:row r="3">
      <x:c r="A3" s="4"/>
      <x:c r="B3" s="4"/>
      <x:c r="C3" s="4"/>
    </x:row>
    <x:row r="4" ht="26" customHeight="1">
      <x:c r="A4" s="7" t="str">
        <x:v>ID</x:v>
      </x:c>
      <x:c r="B4" s="7" t="str">
        <x:v>Record</x:v>
      </x:c>
      <x:c r="C4" s="7" t="str">
        <x:v>What it supports and does not support</x:v>
      </x:c>
    </x:row>
    <x:row r="5" ht="48" customHeight="1">
      <x:c r="A5" s="1" t="str">
        <x:v>S1</x:v>
      </x:c>
      <x:c r="B5" s="12" t="str">
        <x:v>Initial project baseline, 5 September 2026</x:v>
      </x:c>
      <x:c r="C5" s="12" t="str">
        <x:v>Early scope, planning dates and 30 September deadline. It remains the original Azure-oriented plan, not the current completion record.</x:v>
      </x:c>
    </x:row>
    <x:row r="6" ht="48" customHeight="1">
      <x:c r="A6" s="1" t="str">
        <x:v>S2</x:v>
      </x:c>
      <x:c r="B6" s="12" t="str">
        <x:v>Cloud reorganization note, 19 September; local validation record, 27 September</x:v>
      </x:c>
      <x:c r="C6" s="12" t="str">
        <x:v>Separation of generator, POC and cloud projects; local Daily and monthly dataset checks.</x:v>
      </x:c>
    </x:row>
    <x:row r="7" ht="48" customHeight="1">
      <x:c r="A7" s="1" t="str">
        <x:v>S3</x:v>
      </x:c>
      <x:c r="B7" s="12" t="str">
        <x:v>Thesis evidence register and local validation record, 27 September</x:v>
      </x:c>
      <x:c r="C7" s="12" t="str">
        <x:v>Local DuckDB/datamart and dashboard checks. Does not establish Databricks execution.</x:v>
      </x:c>
    </x:row>
    <x:row r="8" ht="48" customHeight="1">
      <x:c r="A8" s="1" t="str">
        <x:v>S4</x:v>
      </x:c>
      <x:c r="B8" s="12" t="str">
        <x:v>Cloud reorganization note, 19–20 September</x:v>
      </x:c>
      <x:c r="C8" s="12" t="str">
        <x:v>Gold/Datamart code and local unit tests; integration execution was still pending in that note.</x:v>
      </x:c>
    </x:row>
    <x:row r="9" ht="48" customHeight="1">
      <x:c r="A9" s="1" t="str">
        <x:v>S5</x:v>
      </x:c>
      <x:c r="B9" s="12" t="str">
        <x:v>Databricks Belgium completion plan, 27 September</x:v>
      </x:c>
      <x:c r="C9" s="12" t="str">
        <x:v>Reports monthly DEV/PROD backfill and first Daily DEV load. Job/Run IDs, outputs and actual run dates are not indexed there. Subsequent tasks are proposed.</x:v>
      </x:c>
    </x:row>
    <x:row r="10" ht="48" customHeight="1">
      <x:c r="A10" s="1" t="str">
        <x:v>S6</x:v>
      </x:c>
      <x:c r="B10" s="12" t="str">
        <x:v>Thesis assembly and illustration plans, 27 September</x:v>
      </x:c>
      <x:c r="C10" s="12" t="str">
        <x:v>Documents the 37-section manuscript structure and planned figures; not a completed PDF.</x:v>
      </x:c>
    </x:row>
    <x:row r="11">
      <x:c r="A11" s="1"/>
      <x:c r="B11" s="12"/>
      <x:c r="C11" s="12"/>
    </x:row>
    <x:row r="12" ht="48" customHeight="1">
      <x:c r="A12" s="1" t="str">
        <x:v>Note</x:v>
      </x:c>
      <x:c r="B12" s="12" t="str">
        <x:v>The 27 September cloud entries are documentation checkpoints. Replace them with verified run dates only after the Databricks evidence is collected.</x:v>
      </x:c>
      <x:c r="C12" s="12"/>
    </x:row>
    <x:row r="13">
      <x:c r="A13" s="1"/>
      <x:c r="B13" s="1"/>
      <x:c r="C13" s="1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6" hidden="0" customWidth="1"/>
    <x:col min="3" max="3" width="19" hidden="0" customWidth="1"/>
    <x:col min="4" max="4" width="14" hidden="0" customWidth="1"/>
    <x:col min="5" max="5" width="14" hidden="0" customWidth="1"/>
    <x:col min="6" max="6" width="20" hidden="0" customWidth="1"/>
    <x:col min="7" max="7" width="22" hidden="0" customWidth="1"/>
    <x:col min="8" max="8" width="10" hidden="0" customWidth="1"/>
    <x:col min="9" max="9" width="49" hidden="0" customWidth="1"/>
  </x:cols>
  <x:sheetData>
    <x:row r="1">
      <x:c r="A1" s="2" t="str">
        <x:v>Work breakdown structure</x:v>
      </x:c>
      <x:c r="B1" s="1"/>
      <x:c r="C1" s="1"/>
      <x:c r="D1" s="1"/>
      <x:c r="E1" s="1"/>
      <x:c r="F1" s="1"/>
      <x:c r="G1" s="1"/>
      <x:c r="H1" s="1"/>
      <x:c r="I1" s="1"/>
    </x:row>
    <x:row r="2">
      <x:c r="A2" s="3" t="str">
        <x:v>Updated task inventory for September 2026; evidence status is separate from schedule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</x:row>
    <x:row r="4" ht="27" customHeight="1">
      <x:c r="A4" s="33" t="str">
        <x:v>WBS</x:v>
      </x:c>
      <x:c r="B4" s="33" t="str">
        <x:v>Task</x:v>
      </x:c>
      <x:c r="C4" s="33" t="str">
        <x:v>Track</x:v>
      </x:c>
      <x:c r="D4" s="33" t="str">
        <x:v>Start</x:v>
      </x:c>
      <x:c r="E4" s="33" t="str">
        <x:v>Finish</x:v>
      </x:c>
      <x:c r="F4" s="33" t="str">
        <x:v>Evidence</x:v>
      </x:c>
      <x:c r="G4" s="33" t="str">
        <x:v>Date basis</x:v>
      </x:c>
      <x:c r="H4" s="33" t="str">
        <x:v>Source</x:v>
      </x:c>
      <x:c r="I4" s="33" t="str">
        <x:v>Output or limitation</x:v>
      </x:c>
    </x:row>
    <x:row r="5" ht="26" customHeight="1">
      <x:c r="A5" s="34" t="str">
        <x:v>0.1</x:v>
      </x:c>
      <x:c r="B5" s="1" t="str">
        <x:v>Frame the problem and scope</x:v>
      </x:c>
      <x:c r="C5" s="1" t="str">
        <x:v>Framing</x:v>
      </x:c>
      <x:c r="D5" s="18" t="n">
        <x:v>46266</x:v>
      </x:c>
      <x:c r="E5" s="18" t="n">
        <x:v>46270</x:v>
      </x:c>
      <x:c r="F5" s="35" t="str">
        <x:v>Documented</x:v>
      </x:c>
      <x:c r="G5" s="1" t="str">
        <x:v>Documented window</x:v>
      </x:c>
      <x:c r="H5" s="1" t="str">
        <x:v>S1</x:v>
      </x:c>
      <x:c r="I5" s="12" t="str">
        <x:v>Initial formulation; later cloud scope differs.</x:v>
      </x:c>
    </x:row>
    <x:row r="6" ht="26" customHeight="1">
      <x:c r="A6" s="36" t="str">
        <x:v>0.2</x:v>
      </x:c>
      <x:c r="B6" s="28" t="str">
        <x:v>Set research questions and method</x:v>
      </x:c>
      <x:c r="C6" s="28" t="str">
        <x:v>Framing</x:v>
      </x:c>
      <x:c r="D6" s="37" t="n">
        <x:v>46266</x:v>
      </x:c>
      <x:c r="E6" s="37" t="n">
        <x:v>46271</x:v>
      </x:c>
      <x:c r="F6" s="35" t="str">
        <x:v>Documented</x:v>
      </x:c>
      <x:c r="G6" s="1" t="str">
        <x:v>Documented window</x:v>
      </x:c>
      <x:c r="H6" s="1" t="str">
        <x:v>S1</x:v>
      </x:c>
      <x:c r="I6" s="12" t="str">
        <x:v>Initial academic package.</x:v>
      </x:c>
    </x:row>
    <x:row r="7" ht="26" customHeight="1">
      <x:c r="A7" s="34" t="str">
        <x:v>0.3</x:v>
      </x:c>
      <x:c r="B7" s="1" t="str">
        <x:v>Outline requirements and acceptance criteria</x:v>
      </x:c>
      <x:c r="C7" s="1" t="str">
        <x:v>Framing</x:v>
      </x:c>
      <x:c r="D7" s="18" t="n">
        <x:v>46267</x:v>
      </x:c>
      <x:c r="E7" s="18" t="n">
        <x:v>46271</x:v>
      </x:c>
      <x:c r="F7" s="35" t="str">
        <x:v>Documented</x:v>
      </x:c>
      <x:c r="G7" s="1" t="str">
        <x:v>Documented window</x:v>
      </x:c>
      <x:c r="H7" s="1" t="str">
        <x:v>S1</x:v>
      </x:c>
      <x:c r="I7" s="12" t="str">
        <x:v>Initial requirements, subject to revision.</x:v>
      </x:c>
    </x:row>
    <x:row r="8" ht="26" customHeight="1">
      <x:c r="A8" s="36" t="str">
        <x:v>0.4</x:v>
      </x:c>
      <x:c r="B8" s="28" t="str">
        <x:v>Draft logical architecture and stack options</x:v>
      </x:c>
      <x:c r="C8" s="28" t="str">
        <x:v>Framing</x:v>
      </x:c>
      <x:c r="D8" s="37" t="n">
        <x:v>46267</x:v>
      </x:c>
      <x:c r="E8" s="37" t="n">
        <x:v>46271</x:v>
      </x:c>
      <x:c r="F8" s="35" t="str">
        <x:v>Documented</x:v>
      </x:c>
      <x:c r="G8" s="1" t="str">
        <x:v>Documented window</x:v>
      </x:c>
      <x:c r="H8" s="1" t="str">
        <x:v>S1</x:v>
      </x:c>
      <x:c r="I8" s="12" t="str">
        <x:v>Original Azure-oriented baseline.</x:v>
      </x:c>
    </x:row>
    <x:row r="9" ht="26" customHeight="1">
      <x:c r="A9" s="34" t="str">
        <x:v>1.1</x:v>
      </x:c>
      <x:c r="B9" s="1" t="str">
        <x:v>Profile reference FOCUS samples</x:v>
      </x:c>
      <x:c r="C9" s="1" t="str">
        <x:v>Generator</x:v>
      </x:c>
      <x:c r="D9" s="18" t="n">
        <x:v>46266</x:v>
      </x:c>
      <x:c r="E9" s="18" t="n">
        <x:v>46269</x:v>
      </x:c>
      <x:c r="F9" s="35" t="str">
        <x:v>Documented</x:v>
      </x:c>
      <x:c r="G9" s="1" t="str">
        <x:v>Documented window</x:v>
      </x:c>
      <x:c r="H9" s="1" t="str">
        <x:v>S1</x:v>
      </x:c>
      <x:c r="I9" s="12" t="str">
        <x:v>Source profiling in the initial plan.</x:v>
      </x:c>
    </x:row>
    <x:row r="10" ht="26" customHeight="1">
      <x:c r="A10" s="36" t="str">
        <x:v>1.2</x:v>
      </x:c>
      <x:c r="B10" s="28" t="str">
        <x:v>Implement deterministic Daily generation</x:v>
      </x:c>
      <x:c r="C10" s="28" t="str">
        <x:v>Generator</x:v>
      </x:c>
      <x:c r="D10" s="37" t="n">
        <x:v>46269</x:v>
      </x:c>
      <x:c r="E10" s="37" t="n">
        <x:v>46272</x:v>
      </x:c>
      <x:c r="F10" s="38" t="str">
        <x:v>Local validated</x:v>
      </x:c>
      <x:c r="G10" s="1" t="str">
        <x:v>Documented window</x:v>
      </x:c>
      <x:c r="H10" s="1" t="str">
        <x:v>S2</x:v>
      </x:c>
      <x:c r="I10" s="12" t="str">
        <x:v>Validated later in the local history.</x:v>
      </x:c>
    </x:row>
    <x:row r="11" ht="26" customHeight="1">
      <x:c r="A11" s="34" t="str">
        <x:v>1.3</x:v>
      </x:c>
      <x:c r="B11" s="1" t="str">
        <x:v>Build monthly billing simulator</x:v>
      </x:c>
      <x:c r="C11" s="1" t="str">
        <x:v>Generator</x:v>
      </x:c>
      <x:c r="D11" s="18" t="n">
        <x:v>46271</x:v>
      </x:c>
      <x:c r="E11" s="18" t="n">
        <x:v>46273</x:v>
      </x:c>
      <x:c r="F11" s="38" t="str">
        <x:v>Local validated</x:v>
      </x:c>
      <x:c r="G11" s="1" t="str">
        <x:v>Documented window</x:v>
      </x:c>
      <x:c r="H11" s="1" t="str">
        <x:v>S2</x:v>
      </x:c>
      <x:c r="I11" s="12" t="str">
        <x:v>Monthly no-change and scenario logic.</x:v>
      </x:c>
    </x:row>
    <x:row r="12" ht="26" customHeight="1">
      <x:c r="A12" s="36" t="str">
        <x:v>1.4</x:v>
      </x:c>
      <x:c r="B12" s="28" t="str">
        <x:v>Generate Daily and monthly history</x:v>
      </x:c>
      <x:c r="C12" s="28" t="str">
        <x:v>Generator</x:v>
      </x:c>
      <x:c r="D12" s="37" t="n">
        <x:v>46272</x:v>
      </x:c>
      <x:c r="E12" s="37" t="n">
        <x:v>46284</x:v>
      </x:c>
      <x:c r="F12" s="38" t="str">
        <x:v>Local validated</x:v>
      </x:c>
      <x:c r="G12" s="1" t="str">
        <x:v>Documented window</x:v>
      </x:c>
      <x:c r="H12" s="1" t="str">
        <x:v>S2</x:v>
      </x:c>
      <x:c r="I12" s="12" t="str">
        <x:v>18 no-change monthly bills documented.</x:v>
      </x:c>
    </x:row>
    <x:row r="13" ht="26" customHeight="1">
      <x:c r="A13" s="34" t="str">
        <x:v>1.5</x:v>
      </x:c>
      <x:c r="B13" s="1" t="str">
        <x:v>Validate Daily and monthly files</x:v>
      </x:c>
      <x:c r="C13" s="1" t="str">
        <x:v>Generator</x:v>
      </x:c>
      <x:c r="D13" s="18" t="n">
        <x:v>46284</x:v>
      </x:c>
      <x:c r="E13" s="18" t="n">
        <x:v>46292</x:v>
      </x:c>
      <x:c r="F13" s="38" t="str">
        <x:v>Local validated</x:v>
      </x:c>
      <x:c r="G13" s="1" t="str">
        <x:v>Documented window</x:v>
      </x:c>
      <x:c r="H13" s="1" t="str">
        <x:v>S2</x:v>
      </x:c>
      <x:c r="I13" s="12" t="str">
        <x:v>27 September local validation record.</x:v>
      </x:c>
    </x:row>
    <x:row r="14" ht="26" customHeight="1">
      <x:c r="A14" s="36" t="str">
        <x:v>2.1</x:v>
      </x:c>
      <x:c r="B14" s="28" t="str">
        <x:v>Implement local medallion pipeline</x:v>
      </x:c>
      <x:c r="C14" s="28" t="str">
        <x:v>Local POC</x:v>
      </x:c>
      <x:c r="D14" s="37" t="n">
        <x:v>46272</x:v>
      </x:c>
      <x:c r="E14" s="37" t="n">
        <x:v>46279</x:v>
      </x:c>
      <x:c r="F14" s="38" t="str">
        <x:v>Local validated</x:v>
      </x:c>
      <x:c r="G14" s="1" t="str">
        <x:v>Documented window</x:v>
      </x:c>
      <x:c r="H14" s="1" t="str">
        <x:v>S3</x:v>
      </x:c>
      <x:c r="I14" s="12" t="str">
        <x:v>Local execution only.</x:v>
      </x:c>
    </x:row>
    <x:row r="15" ht="26" customHeight="1">
      <x:c r="A15" s="34" t="str">
        <x:v>2.2</x:v>
      </x:c>
      <x:c r="B15" s="1" t="str">
        <x:v>Publish DuckDB model and datamarts</x:v>
      </x:c>
      <x:c r="C15" s="1" t="str">
        <x:v>Local POC</x:v>
      </x:c>
      <x:c r="D15" s="18" t="n">
        <x:v>46275</x:v>
      </x:c>
      <x:c r="E15" s="18" t="n">
        <x:v>46279</x:v>
      </x:c>
      <x:c r="F15" s="38" t="str">
        <x:v>Local validated</x:v>
      </x:c>
      <x:c r="G15" s="1" t="str">
        <x:v>Documented window</x:v>
      </x:c>
      <x:c r="H15" s="1" t="str">
        <x:v>S3</x:v>
      </x:c>
      <x:c r="I15" s="12" t="str">
        <x:v>14 local analytical subjects.</x:v>
      </x:c>
    </x:row>
    <x:row r="16" ht="26" customHeight="1">
      <x:c r="A16" s="36" t="str">
        <x:v>2.3</x:v>
      </x:c>
      <x:c r="B16" s="28" t="str">
        <x:v>Build local Streamlit dashboard</x:v>
      </x:c>
      <x:c r="C16" s="28" t="str">
        <x:v>Local POC</x:v>
      </x:c>
      <x:c r="D16" s="37" t="n">
        <x:v>46278</x:v>
      </x:c>
      <x:c r="E16" s="37" t="n">
        <x:v>46279</x:v>
      </x:c>
      <x:c r="F16" s="38" t="str">
        <x:v>Local validated</x:v>
      </x:c>
      <x:c r="G16" s="1" t="str">
        <x:v>Documented window</x:v>
      </x:c>
      <x:c r="H16" s="1" t="str">
        <x:v>S3</x:v>
      </x:c>
      <x:c r="I16" s="12" t="str">
        <x:v>Local AppTest and query checks.</x:v>
      </x:c>
    </x:row>
    <x:row r="17" ht="26" customHeight="1">
      <x:c r="A17" s="34" t="str">
        <x:v>2.4</x:v>
      </x:c>
      <x:c r="B17" s="1" t="str">
        <x:v>Reconcile local analytical outputs</x:v>
      </x:c>
      <x:c r="C17" s="1" t="str">
        <x:v>Local POC</x:v>
      </x:c>
      <x:c r="D17" s="18" t="n">
        <x:v>46279</x:v>
      </x:c>
      <x:c r="E17" s="18" t="n">
        <x:v>46292</x:v>
      </x:c>
      <x:c r="F17" s="38" t="str">
        <x:v>Local validated</x:v>
      </x:c>
      <x:c r="G17" s="1" t="str">
        <x:v>Documented window</x:v>
      </x:c>
      <x:c r="H17" s="1" t="str">
        <x:v>S3</x:v>
      </x:c>
      <x:c r="I17" s="12" t="str">
        <x:v>Synthetic January POC results.</x:v>
      </x:c>
    </x:row>
    <x:row r="18" ht="26" customHeight="1">
      <x:c r="A18" s="36" t="str">
        <x:v>3.1</x:v>
      </x:c>
      <x:c r="B18" s="28" t="str">
        <x:v>Separate generator, POC and cloud code</x:v>
      </x:c>
      <x:c r="C18" s="28" t="str">
        <x:v>Cloud platform</x:v>
      </x:c>
      <x:c r="D18" s="37" t="n">
        <x:v>46284</x:v>
      </x:c>
      <x:c r="E18" s="37" t="n">
        <x:v>46284</x:v>
      </x:c>
      <x:c r="F18" s="35" t="str">
        <x:v>Documented</x:v>
      </x:c>
      <x:c r="G18" s="1" t="str">
        <x:v>Documented window</x:v>
      </x:c>
      <x:c r="H18" s="1" t="str">
        <x:v>S4</x:v>
      </x:c>
      <x:c r="I18" s="12" t="str">
        <x:v>Three sibling projects.</x:v>
      </x:c>
    </x:row>
    <x:row r="19" ht="26" customHeight="1">
      <x:c r="A19" s="34" t="str">
        <x:v>3.2</x:v>
      </x:c>
      <x:c r="B19" s="1" t="str">
        <x:v>Implement cloud Gold and datamart SQL</x:v>
      </x:c>
      <x:c r="C19" s="1" t="str">
        <x:v>Cloud platform</x:v>
      </x:c>
      <x:c r="D19" s="18" t="n">
        <x:v>46284</x:v>
      </x:c>
      <x:c r="E19" s="18" t="n">
        <x:v>46285</x:v>
      </x:c>
      <x:c r="F19" s="35" t="str">
        <x:v>Documented</x:v>
      </x:c>
      <x:c r="G19" s="1" t="str">
        <x:v>Documented window</x:v>
      </x:c>
      <x:c r="H19" s="1" t="str">
        <x:v>S4</x:v>
      </x:c>
      <x:c r="I19" s="12" t="str">
        <x:v>Local code and tests; cloud output separate.</x:v>
      </x:c>
    </x:row>
    <x:row r="20" ht="26" customHeight="1">
      <x:c r="A20" s="36" t="str">
        <x:v>3.3</x:v>
      </x:c>
      <x:c r="B20" s="28" t="str">
        <x:v>Define cloud pipeline and audit modules</x:v>
      </x:c>
      <x:c r="C20" s="28" t="str">
        <x:v>Cloud platform</x:v>
      </x:c>
      <x:c r="D20" s="37" t="n">
        <x:v>46284</x:v>
      </x:c>
      <x:c r="E20" s="37" t="n">
        <x:v>46285</x:v>
      </x:c>
      <x:c r="F20" s="35" t="str">
        <x:v>Documented</x:v>
      </x:c>
      <x:c r="G20" s="1" t="str">
        <x:v>Documented window</x:v>
      </x:c>
      <x:c r="H20" s="1" t="str">
        <x:v>S4</x:v>
      </x:c>
      <x:c r="I20" s="12" t="str">
        <x:v>Local code state.</x:v>
      </x:c>
    </x:row>
    <x:row r="21" ht="26" customHeight="1">
      <x:c r="A21" s="34" t="str">
        <x:v>3.4</x:v>
      </x:c>
      <x:c r="B21" s="1" t="str">
        <x:v>Configure Belgium RAW and catalogs</x:v>
      </x:c>
      <x:c r="C21" s="1" t="str">
        <x:v>Cloud platform</x:v>
      </x:c>
      <x:c r="D21" s="18" t="n">
        <x:v>46292</x:v>
      </x:c>
      <x:c r="E21" s="18" t="n">
        <x:v>46292</x:v>
      </x:c>
      <x:c r="F21" s="39" t="str">
        <x:v>Cloud reported</x:v>
      </x:c>
      <x:c r="G21" s="1" t="str">
        <x:v>Report checkpoint</x:v>
      </x:c>
      <x:c r="H21" s="1" t="str">
        <x:v>S5</x:v>
      </x:c>
      <x:c r="I21" s="12" t="str">
        <x:v>Actual setup dates need confirmation.</x:v>
      </x:c>
    </x:row>
    <x:row r="22" ht="26" customHeight="1">
      <x:c r="A22" s="36" t="str">
        <x:v>3.5</x:v>
      </x:c>
      <x:c r="B22" s="28" t="str">
        <x:v>Configure Belgium storage and compute</x:v>
      </x:c>
      <x:c r="C22" s="28" t="str">
        <x:v>Cloud platform</x:v>
      </x:c>
      <x:c r="D22" s="37" t="n">
        <x:v>46292</x:v>
      </x:c>
      <x:c r="E22" s="37" t="n">
        <x:v>46292</x:v>
      </x:c>
      <x:c r="F22" s="39" t="str">
        <x:v>Cloud reported</x:v>
      </x:c>
      <x:c r="G22" s="1" t="str">
        <x:v>Report checkpoint</x:v>
      </x:c>
      <x:c r="H22" s="1" t="str">
        <x:v>S5</x:v>
      </x:c>
      <x:c r="I22" s="12" t="str">
        <x:v>Classic migration reported.</x:v>
      </x:c>
    </x:row>
    <x:row r="23" ht="26" customHeight="1">
      <x:c r="A23" s="34" t="str">
        <x:v>3.6</x:v>
      </x:c>
      <x:c r="B23" s="1" t="str">
        <x:v>Backfill monthly data in DEV</x:v>
      </x:c>
      <x:c r="C23" s="1" t="str">
        <x:v>Cloud platform</x:v>
      </x:c>
      <x:c r="D23" s="18" t="n">
        <x:v>46292</x:v>
      </x:c>
      <x:c r="E23" s="18" t="n">
        <x:v>46292</x:v>
      </x:c>
      <x:c r="F23" s="39" t="str">
        <x:v>Cloud reported</x:v>
      </x:c>
      <x:c r="G23" s="1" t="str">
        <x:v>Report checkpoint</x:v>
      </x:c>
      <x:c r="H23" s="1" t="str">
        <x:v>S5</x:v>
      </x:c>
      <x:c r="I23" s="12" t="str">
        <x:v>Run ID and control output still needed.</x:v>
      </x:c>
    </x:row>
    <x:row r="24" ht="26" customHeight="1">
      <x:c r="A24" s="36" t="str">
        <x:v>3.7</x:v>
      </x:c>
      <x:c r="B24" s="28" t="str">
        <x:v>Backfill monthly data in PROD</x:v>
      </x:c>
      <x:c r="C24" s="28" t="str">
        <x:v>Cloud platform</x:v>
      </x:c>
      <x:c r="D24" s="37" t="n">
        <x:v>46292</x:v>
      </x:c>
      <x:c r="E24" s="37" t="n">
        <x:v>46292</x:v>
      </x:c>
      <x:c r="F24" s="39" t="str">
        <x:v>Cloud reported</x:v>
      </x:c>
      <x:c r="G24" s="1" t="str">
        <x:v>Report checkpoint</x:v>
      </x:c>
      <x:c r="H24" s="1" t="str">
        <x:v>S5</x:v>
      </x:c>
      <x:c r="I24" s="12" t="str">
        <x:v>Run ID and control output still needed.</x:v>
      </x:c>
    </x:row>
    <x:row r="25" ht="26" customHeight="1">
      <x:c r="A25" s="34" t="str">
        <x:v>3.8</x:v>
      </x:c>
      <x:c r="B25" s="1" t="str">
        <x:v>Load first Daily file in DEV</x:v>
      </x:c>
      <x:c r="C25" s="1" t="str">
        <x:v>Cloud platform</x:v>
      </x:c>
      <x:c r="D25" s="18" t="n">
        <x:v>46292</x:v>
      </x:c>
      <x:c r="E25" s="18" t="n">
        <x:v>46292</x:v>
      </x:c>
      <x:c r="F25" s="39" t="str">
        <x:v>Cloud reported</x:v>
      </x:c>
      <x:c r="G25" s="1" t="str">
        <x:v>Report checkpoint</x:v>
      </x:c>
      <x:c r="H25" s="1" t="str">
        <x:v>S5</x:v>
      </x:c>
      <x:c r="I25" s="12" t="str">
        <x:v>PROD promotion not established here.</x:v>
      </x:c>
    </x:row>
    <x:row r="26" ht="26" customHeight="1">
      <x:c r="A26" s="36" t="str">
        <x:v>3.9</x:v>
      </x:c>
      <x:c r="B26" s="28" t="str">
        <x:v>Validate Daily DEV-to-PROD promotion</x:v>
      </x:c>
      <x:c r="C26" s="28" t="str">
        <x:v>Cloud platform</x:v>
      </x:c>
      <x:c r="D26" s="37" t="n">
        <x:v>46293</x:v>
      </x:c>
      <x:c r="E26" s="37" t="n">
        <x:v>46294</x:v>
      </x:c>
      <x:c r="F26" s="40" t="str">
        <x:v>Planned</x:v>
      </x:c>
      <x:c r="G26" s="1" t="str">
        <x:v>Proposed</x:v>
      </x:c>
      <x:c r="H26" s="1" t="str">
        <x:v>S5</x:v>
      </x:c>
      <x:c r="I26" s="12" t="str">
        <x:v>Collect both task outputs.</x:v>
      </x:c>
    </x:row>
    <x:row r="27" ht="26" customHeight="1">
      <x:c r="A27" s="34" t="str">
        <x:v>3.10</x:v>
      </x:c>
      <x:c r="B27" s="1" t="str">
        <x:v>Test Classic monthly close</x:v>
      </x:c>
      <x:c r="C27" s="1" t="str">
        <x:v>Cloud platform</x:v>
      </x:c>
      <x:c r="D27" s="18" t="n">
        <x:v>46293</x:v>
      </x:c>
      <x:c r="E27" s="18" t="n">
        <x:v>46294</x:v>
      </x:c>
      <x:c r="F27" s="40" t="str">
        <x:v>Planned</x:v>
      </x:c>
      <x:c r="G27" s="1" t="str">
        <x:v>Proposed</x:v>
      </x:c>
      <x:c r="H27" s="1" t="str">
        <x:v>S5</x:v>
      </x:c>
      <x:c r="I27" s="12" t="str">
        <x:v>Requires a real monthly billing file.</x:v>
      </x:c>
    </x:row>
    <x:row r="28" ht="26" customHeight="1">
      <x:c r="A28" s="36" t="str">
        <x:v>3.11</x:v>
      </x:c>
      <x:c r="B28" s="28" t="str">
        <x:v>Test replay and idempotence</x:v>
      </x:c>
      <x:c r="C28" s="28" t="str">
        <x:v>Cloud platform</x:v>
      </x:c>
      <x:c r="D28" s="37" t="n">
        <x:v>46294</x:v>
      </x:c>
      <x:c r="E28" s="37" t="n">
        <x:v>46294</x:v>
      </x:c>
      <x:c r="F28" s="40" t="str">
        <x:v>Planned</x:v>
      </x:c>
      <x:c r="G28" s="1" t="str">
        <x:v>Proposed</x:v>
      </x:c>
      <x:c r="H28" s="1" t="str">
        <x:v>S5</x:v>
      </x:c>
      <x:c r="I28" s="12" t="str">
        <x:v>Compare rows and costs before and after.</x:v>
      </x:c>
    </x:row>
    <x:row r="29" ht="26" customHeight="1">
      <x:c r="A29" s="34" t="str">
        <x:v>3.12</x:v>
      </x:c>
      <x:c r="B29" s="1" t="str">
        <x:v>Collect OPS and reconciliation outputs</x:v>
      </x:c>
      <x:c r="C29" s="1" t="str">
        <x:v>Cloud platform</x:v>
      </x:c>
      <x:c r="D29" s="18" t="n">
        <x:v>46294</x:v>
      </x:c>
      <x:c r="E29" s="18" t="n">
        <x:v>46294</x:v>
      </x:c>
      <x:c r="F29" s="40" t="str">
        <x:v>Planned</x:v>
      </x:c>
      <x:c r="G29" s="1" t="str">
        <x:v>Proposed</x:v>
      </x:c>
      <x:c r="H29" s="1" t="str">
        <x:v>S5</x:v>
      </x:c>
      <x:c r="I29" s="12" t="str">
        <x:v>Capture environment and Run IDs.</x:v>
      </x:c>
    </x:row>
    <x:row r="30" ht="26" customHeight="1">
      <x:c r="A30" s="36" t="str">
        <x:v>4.1</x:v>
      </x:c>
      <x:c r="B30" s="28" t="str">
        <x:v>Attribute Databricks DBUs to runs</x:v>
      </x:c>
      <x:c r="C30" s="28" t="str">
        <x:v>Platform cost</x:v>
      </x:c>
      <x:c r="D30" s="37" t="n">
        <x:v>46293</x:v>
      </x:c>
      <x:c r="E30" s="37" t="n">
        <x:v>46294</x:v>
      </x:c>
      <x:c r="F30" s="40" t="str">
        <x:v>Planned</x:v>
      </x:c>
      <x:c r="G30" s="1" t="str">
        <x:v>Proposed</x:v>
      </x:c>
      <x:c r="H30" s="1" t="str">
        <x:v>S5</x:v>
      </x:c>
      <x:c r="I30" s="12" t="str">
        <x:v>Separate All-Purpose and Serverless usage.</x:v>
      </x:c>
    </x:row>
    <x:row r="31" ht="26" customHeight="1">
      <x:c r="A31" s="34" t="str">
        <x:v>4.2</x:v>
      </x:c>
      <x:c r="B31" s="1" t="str">
        <x:v>Collect GCP VM and storage charges</x:v>
      </x:c>
      <x:c r="C31" s="1" t="str">
        <x:v>Platform cost</x:v>
      </x:c>
      <x:c r="D31" s="18" t="n">
        <x:v>46293</x:v>
      </x:c>
      <x:c r="E31" s="18" t="n">
        <x:v>46294</x:v>
      </x:c>
      <x:c r="F31" s="40" t="str">
        <x:v>Planned</x:v>
      </x:c>
      <x:c r="G31" s="1" t="str">
        <x:v>Proposed</x:v>
      </x:c>
      <x:c r="H31" s="1" t="str">
        <x:v>S5</x:v>
      </x:c>
      <x:c r="I31" s="12" t="str">
        <x:v>Needed for total Classic cost.</x:v>
      </x:c>
    </x:row>
    <x:row r="32" ht="26" customHeight="1">
      <x:c r="A32" s="36" t="str">
        <x:v>4.3</x:v>
      </x:c>
      <x:c r="B32" s="28" t="str">
        <x:v>Compare compute scenarios fairly</x:v>
      </x:c>
      <x:c r="C32" s="28" t="str">
        <x:v>Platform cost</x:v>
      </x:c>
      <x:c r="D32" s="37" t="n">
        <x:v>46293</x:v>
      </x:c>
      <x:c r="E32" s="37" t="n">
        <x:v>46294</x:v>
      </x:c>
      <x:c r="F32" s="40" t="str">
        <x:v>Planned</x:v>
      </x:c>
      <x:c r="G32" s="1" t="str">
        <x:v>Proposed</x:v>
      </x:c>
      <x:c r="H32" s="1" t="str">
        <x:v>S5</x:v>
      </x:c>
      <x:c r="I32" s="12" t="str">
        <x:v>Hold workload and output constant.</x:v>
      </x:c>
    </x:row>
    <x:row r="33" ht="26" customHeight="1">
      <x:c r="A33" s="34" t="str">
        <x:v>5.1</x:v>
      </x:c>
      <x:c r="B33" s="1" t="str">
        <x:v>Draft framing and architecture chapters</x:v>
      </x:c>
      <x:c r="C33" s="1" t="str">
        <x:v>Thesis</x:v>
      </x:c>
      <x:c r="D33" s="18" t="n">
        <x:v>46269</x:v>
      </x:c>
      <x:c r="E33" s="18" t="n">
        <x:v>46292</x:v>
      </x:c>
      <x:c r="F33" s="35" t="str">
        <x:v>Documented</x:v>
      </x:c>
      <x:c r="G33" s="1" t="str">
        <x:v>Documented window</x:v>
      </x:c>
      <x:c r="H33" s="1" t="str">
        <x:v>S6</x:v>
      </x:c>
      <x:c r="I33" s="12" t="str">
        <x:v>Draft sections exist, not final PDF.</x:v>
      </x:c>
    </x:row>
    <x:row r="34" ht="26" customHeight="1">
      <x:c r="A34" s="36" t="str">
        <x:v>5.2</x:v>
      </x:c>
      <x:c r="B34" s="28" t="str">
        <x:v>Draft implementation and analysis chapters</x:v>
      </x:c>
      <x:c r="C34" s="28" t="str">
        <x:v>Thesis</x:v>
      </x:c>
      <x:c r="D34" s="37" t="n">
        <x:v>46285</x:v>
      </x:c>
      <x:c r="E34" s="37" t="n">
        <x:v>46293</x:v>
      </x:c>
      <x:c r="F34" s="35" t="str">
        <x:v>Documented</x:v>
      </x:c>
      <x:c r="G34" s="1" t="str">
        <x:v>Documented window</x:v>
      </x:c>
      <x:c r="H34" s="1" t="str">
        <x:v>S6</x:v>
      </x:c>
      <x:c r="I34" s="12" t="str">
        <x:v>Evidence still to be reconciled.</x:v>
      </x:c>
    </x:row>
    <x:row r="35" ht="26" customHeight="1">
      <x:c r="A35" s="34" t="str">
        <x:v>5.3</x:v>
      </x:c>
      <x:c r="B35" s="1" t="str">
        <x:v>Prepare ERD and evidence figures</x:v>
      </x:c>
      <x:c r="C35" s="1" t="str">
        <x:v>Thesis</x:v>
      </x:c>
      <x:c r="D35" s="18" t="n">
        <x:v>46293</x:v>
      </x:c>
      <x:c r="E35" s="18" t="n">
        <x:v>46294</x:v>
      </x:c>
      <x:c r="F35" s="40" t="str">
        <x:v>Planned</x:v>
      </x:c>
      <x:c r="G35" s="1" t="str">
        <x:v>Proposed</x:v>
      </x:c>
      <x:c r="H35" s="1" t="str">
        <x:v>S6</x:v>
      </x:c>
      <x:c r="I35" s="12" t="str">
        <x:v>Insert simplified ERD in section 4.5.2.</x:v>
      </x:c>
    </x:row>
    <x:row r="36" ht="26" customHeight="1">
      <x:c r="A36" s="36" t="str">
        <x:v>5.4</x:v>
      </x:c>
      <x:c r="B36" s="28" t="str">
        <x:v>Prepare project-management appendix</x:v>
      </x:c>
      <x:c r="C36" s="28" t="str">
        <x:v>Thesis</x:v>
      </x:c>
      <x:c r="D36" s="37" t="n">
        <x:v>46293</x:v>
      </x:c>
      <x:c r="E36" s="37" t="n">
        <x:v>46294</x:v>
      </x:c>
      <x:c r="F36" s="40" t="str">
        <x:v>Planned</x:v>
      </x:c>
      <x:c r="G36" s="1" t="str">
        <x:v>Proposed</x:v>
      </x:c>
      <x:c r="H36" s="1" t="str">
        <x:v>S6</x:v>
      </x:c>
      <x:c r="I36" s="12" t="str">
        <x:v>Export the summary Gantt with legend.</x:v>
      </x:c>
    </x:row>
    <x:row r="37" ht="26" customHeight="1">
      <x:c r="A37" s="34" t="str">
        <x:v>5.5</x:v>
      </x:c>
      <x:c r="B37" s="1" t="str">
        <x:v>Proofread references and final PDF</x:v>
      </x:c>
      <x:c r="C37" s="1" t="str">
        <x:v>Thesis</x:v>
      </x:c>
      <x:c r="D37" s="18" t="n">
        <x:v>46294</x:v>
      </x:c>
      <x:c r="E37" s="18" t="n">
        <x:v>46294</x:v>
      </x:c>
      <x:c r="F37" s="40" t="str">
        <x:v>Planned</x:v>
      </x:c>
      <x:c r="G37" s="1" t="str">
        <x:v>Proposed</x:v>
      </x:c>
      <x:c r="H37" s="1" t="str">
        <x:v>S6</x:v>
      </x:c>
      <x:c r="I37" s="12" t="str">
        <x:v>Review factual and layout issues.</x:v>
      </x:c>
    </x:row>
    <x:row r="38" ht="26" customHeight="1">
      <x:c r="A38" s="36" t="str">
        <x:v>5.6</x:v>
      </x:c>
      <x:c r="B38" s="28" t="str">
        <x:v>Submit manuscript</x:v>
      </x:c>
      <x:c r="C38" s="28" t="str">
        <x:v>Thesis</x:v>
      </x:c>
      <x:c r="D38" s="37" t="n">
        <x:v>46295</x:v>
      </x:c>
      <x:c r="E38" s="37" t="n">
        <x:v>46295</x:v>
      </x:c>
      <x:c r="F38" s="40" t="str">
        <x:v>Planned</x:v>
      </x:c>
      <x:c r="G38" s="1" t="str">
        <x:v>Proposed</x:v>
      </x:c>
      <x:c r="H38" s="1" t="str">
        <x:v>S1</x:v>
      </x:c>
      <x:c r="I38" s="12" t="str">
        <x:v>Deadline in initial project baseline.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44" hidden="0" customWidth="1"/>
    <x:col min="3" max="3" width="14" hidden="0" customWidth="1"/>
    <x:col min="4" max="4" width="14" hidden="0" customWidth="1"/>
    <x:col min="5" max="5" width="20" hidden="0" customWidth="1"/>
    <x:col min="6" max="6" width="4" hidden="0" customWidth="1"/>
    <x:col min="7" max="7" width="4" hidden="0" customWidth="1"/>
    <x:col min="8" max="8" width="4" hidden="0" customWidth="1"/>
    <x:col min="9" max="9" width="4" hidden="0" customWidth="1"/>
    <x:col min="10" max="10" width="4" hidden="0" customWidth="1"/>
    <x:col min="11" max="11" width="4" hidden="0" customWidth="1"/>
    <x:col min="12" max="12" width="4" hidden="0" customWidth="1"/>
    <x:col min="13" max="13" width="4" hidden="0" customWidth="1"/>
    <x:col min="14" max="14" width="4" hidden="0" customWidth="1"/>
    <x:col min="15" max="15" width="4" hidden="0" customWidth="1"/>
    <x:col min="16" max="16" width="4" hidden="0" customWidth="1"/>
    <x:col min="17" max="17" width="4" hidden="0" customWidth="1"/>
    <x:col min="18" max="18" width="4" hidden="0" customWidth="1"/>
    <x:col min="19" max="19" width="4" hidden="0" customWidth="1"/>
    <x:col min="20" max="20" width="4" hidden="0" customWidth="1"/>
    <x:col min="21" max="21" width="4" hidden="0" customWidth="1"/>
    <x:col min="22" max="22" width="4" hidden="0" customWidth="1"/>
    <x:col min="23" max="23" width="4" hidden="0" customWidth="1"/>
    <x:col min="24" max="24" width="4" hidden="0" customWidth="1"/>
    <x:col min="25" max="25" width="4" hidden="0" customWidth="1"/>
    <x:col min="26" max="26" width="4" hidden="0" customWidth="1"/>
    <x:col min="27" max="27" width="4" hidden="0" customWidth="1"/>
    <x:col min="28" max="28" width="4" hidden="0" customWidth="1"/>
    <x:col min="29" max="29" width="4" hidden="0" customWidth="1"/>
    <x:col min="30" max="30" width="4" hidden="0" customWidth="1"/>
    <x:col min="31" max="31" width="4" hidden="0" customWidth="1"/>
    <x:col min="32" max="32" width="4" hidden="0" customWidth="1"/>
    <x:col min="33" max="33" width="4" hidden="0" customWidth="1"/>
    <x:col min="34" max="34" width="4" hidden="0" customWidth="1"/>
    <x:col min="35" max="35" width="4" hidden="0" customWidth="1"/>
  </x:cols>
  <x:sheetData>
    <x:row r="1">
      <x:c r="A1" s="2" t="str">
        <x:v>Daily Gantt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</x:row>
    <x:row r="2">
      <x:c r="A2" s="3" t="str">
        <x:v>Task-level planning across 1–30 September 2026; see WBS and README for date basis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  <x:c r="AG2" s="1"/>
      <x:c r="AH2" s="1"/>
      <x:c r="AI2" s="1"/>
    </x:row>
    <x:row r="3">
      <x:c r="A3" s="1"/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  <x:c r="Q3" s="1"/>
      <x:c r="R3" s="1"/>
      <x:c r="S3" s="1"/>
      <x:c r="T3" s="1"/>
      <x:c r="U3" s="1"/>
      <x:c r="V3" s="1"/>
      <x:c r="W3" s="1"/>
      <x:c r="X3" s="1"/>
      <x:c r="Y3" s="1"/>
      <x:c r="Z3" s="1"/>
      <x:c r="AA3" s="1"/>
      <x:c r="AB3" s="1"/>
      <x:c r="AC3" s="1"/>
      <x:c r="AD3" s="1"/>
      <x:c r="AE3" s="1"/>
      <x:c r="AF3" s="1"/>
      <x:c r="AG3" s="1"/>
      <x:c r="AH3" s="1"/>
      <x:c r="AI3" s="1"/>
    </x:row>
    <x:row r="4" ht="27" customHeight="1">
      <x:c r="A4" s="33" t="str">
        <x:v>WBS</x:v>
      </x:c>
      <x:c r="B4" s="33" t="str">
        <x:v>Task</x:v>
      </x:c>
      <x:c r="C4" s="33" t="str">
        <x:v>Start</x:v>
      </x:c>
      <x:c r="D4" s="33" t="str">
        <x:v>Finish</x:v>
      </x:c>
      <x:c r="E4" s="33" t="str">
        <x:v>Evidence</x:v>
      </x:c>
      <x:c r="F4" s="44" t="n">
        <x:v>46266</x:v>
      </x:c>
      <x:c r="G4" s="44" t="n">
        <x:v>46267</x:v>
      </x:c>
      <x:c r="H4" s="44" t="n">
        <x:v>46268</x:v>
      </x:c>
      <x:c r="I4" s="44" t="n">
        <x:v>46269</x:v>
      </x:c>
      <x:c r="J4" s="51" t="n">
        <x:v>46270</x:v>
      </x:c>
      <x:c r="K4" s="51" t="n">
        <x:v>46271</x:v>
      </x:c>
      <x:c r="L4" s="44" t="n">
        <x:v>46272</x:v>
      </x:c>
      <x:c r="M4" s="44" t="n">
        <x:v>46273</x:v>
      </x:c>
      <x:c r="N4" s="44" t="n">
        <x:v>46274</x:v>
      </x:c>
      <x:c r="O4" s="44" t="n">
        <x:v>46275</x:v>
      </x:c>
      <x:c r="P4" s="44" t="n">
        <x:v>46276</x:v>
      </x:c>
      <x:c r="Q4" s="51" t="n">
        <x:v>46277</x:v>
      </x:c>
      <x:c r="R4" s="51" t="n">
        <x:v>46278</x:v>
      </x:c>
      <x:c r="S4" s="44" t="n">
        <x:v>46279</x:v>
      </x:c>
      <x:c r="T4" s="44" t="n">
        <x:v>46280</x:v>
      </x:c>
      <x:c r="U4" s="44" t="n">
        <x:v>46281</x:v>
      </x:c>
      <x:c r="V4" s="44" t="n">
        <x:v>46282</x:v>
      </x:c>
      <x:c r="W4" s="44" t="n">
        <x:v>46283</x:v>
      </x:c>
      <x:c r="X4" s="51" t="n">
        <x:v>46284</x:v>
      </x:c>
      <x:c r="Y4" s="51" t="n">
        <x:v>46285</x:v>
      </x:c>
      <x:c r="Z4" s="44" t="n">
        <x:v>46286</x:v>
      </x:c>
      <x:c r="AA4" s="44" t="n">
        <x:v>46287</x:v>
      </x:c>
      <x:c r="AB4" s="44" t="n">
        <x:v>46288</x:v>
      </x:c>
      <x:c r="AC4" s="44" t="n">
        <x:v>46289</x:v>
      </x:c>
      <x:c r="AD4" s="44" t="n">
        <x:v>46290</x:v>
      </x:c>
      <x:c r="AE4" s="51" t="n">
        <x:v>46291</x:v>
      </x:c>
      <x:c r="AF4" s="51" t="n">
        <x:v>46292</x:v>
      </x:c>
      <x:c r="AG4" s="44" t="n">
        <x:v>46293</x:v>
      </x:c>
      <x:c r="AH4" s="44" t="n">
        <x:v>46294</x:v>
      </x:c>
      <x:c r="AI4" s="44" t="n">
        <x:v>46295</x:v>
      </x:c>
    </x:row>
    <x:row r="5" ht="23" customHeight="1">
      <x:c r="A5" s="34" t="str">
        <x:f>'WBS'!A5</x:f>
        <x:v>0.1</x:v>
      </x:c>
      <x:c r="B5" s="1" t="str">
        <x:f>'WBS'!B5</x:f>
        <x:v>Frame the problem and scope</x:v>
      </x:c>
      <x:c r="C5" s="18" t="n">
        <x:f>'WBS'!D5</x:f>
        <x:v>46266</x:v>
      </x:c>
      <x:c r="D5" s="18" t="n">
        <x:f>'WBS'!E5</x:f>
        <x:v>46270</x:v>
      </x:c>
      <x:c r="E5" s="35" t="str">
        <x:f>'WBS'!F5</x:f>
        <x:v>Documented</x:v>
      </x:c>
      <x:c r="F5" s="47" t="str">
        <x:f>IF(AND(F$4&gt;=$C5,F$4&lt;=$D5),"■","")</x:f>
        <x:v>■</x:v>
      </x:c>
      <x:c r="G5" s="47" t="str">
        <x:f>IF(AND(G$4&gt;=$C5,G$4&lt;=$D5),"■","")</x:f>
        <x:v>■</x:v>
      </x:c>
      <x:c r="H5" s="47" t="str">
        <x:f>IF(AND(H$4&gt;=$C5,H$4&lt;=$D5),"■","")</x:f>
        <x:v>■</x:v>
      </x:c>
      <x:c r="I5" s="47" t="str">
        <x:f>IF(AND(I$4&gt;=$C5,I$4&lt;=$D5),"■","")</x:f>
        <x:v>■</x:v>
      </x:c>
      <x:c r="J5" s="47" t="str">
        <x:f>IF(AND(J$4&gt;=$C5,J$4&lt;=$D5),"■","")</x:f>
        <x:v>■</x:v>
      </x:c>
      <x:c r="K5" s="47" t="str">
        <x:f>IF(AND(K$4&gt;=$C5,K$4&lt;=$D5),"■","")</x:f>
      </x:c>
      <x:c r="L5" s="47" t="str">
        <x:f>IF(AND(L$4&gt;=$C5,L$4&lt;=$D5),"■","")</x:f>
      </x:c>
      <x:c r="M5" s="47" t="str">
        <x:f>IF(AND(M$4&gt;=$C5,M$4&lt;=$D5),"■","")</x:f>
      </x:c>
      <x:c r="N5" s="47" t="str">
        <x:f>IF(AND(N$4&gt;=$C5,N$4&lt;=$D5),"■","")</x:f>
      </x:c>
      <x:c r="O5" s="47" t="str">
        <x:f>IF(AND(O$4&gt;=$C5,O$4&lt;=$D5),"■","")</x:f>
      </x:c>
      <x:c r="P5" s="47" t="str">
        <x:f>IF(AND(P$4&gt;=$C5,P$4&lt;=$D5),"■","")</x:f>
      </x:c>
      <x:c r="Q5" s="47" t="str">
        <x:f>IF(AND(Q$4&gt;=$C5,Q$4&lt;=$D5),"■","")</x:f>
      </x:c>
      <x:c r="R5" s="47" t="str">
        <x:f>IF(AND(R$4&gt;=$C5,R$4&lt;=$D5),"■","")</x:f>
      </x:c>
      <x:c r="S5" s="47" t="str">
        <x:f>IF(AND(S$4&gt;=$C5,S$4&lt;=$D5),"■","")</x:f>
      </x:c>
      <x:c r="T5" s="47" t="str">
        <x:f>IF(AND(T$4&gt;=$C5,T$4&lt;=$D5),"■","")</x:f>
      </x:c>
      <x:c r="U5" s="47" t="str">
        <x:f>IF(AND(U$4&gt;=$C5,U$4&lt;=$D5),"■","")</x:f>
      </x:c>
      <x:c r="V5" s="47" t="str">
        <x:f>IF(AND(V$4&gt;=$C5,V$4&lt;=$D5),"■","")</x:f>
      </x:c>
      <x:c r="W5" s="47" t="str">
        <x:f>IF(AND(W$4&gt;=$C5,W$4&lt;=$D5),"■","")</x:f>
      </x:c>
      <x:c r="X5" s="47" t="str">
        <x:f>IF(AND(X$4&gt;=$C5,X$4&lt;=$D5),"■","")</x:f>
      </x:c>
      <x:c r="Y5" s="47" t="str">
        <x:f>IF(AND(Y$4&gt;=$C5,Y$4&lt;=$D5),"■","")</x:f>
      </x:c>
      <x:c r="Z5" s="47" t="str">
        <x:f>IF(AND(Z$4&gt;=$C5,Z$4&lt;=$D5),"■","")</x:f>
      </x:c>
      <x:c r="AA5" s="47" t="str">
        <x:f>IF(AND(AA$4&gt;=$C5,AA$4&lt;=$D5),"■","")</x:f>
      </x:c>
      <x:c r="AB5" s="47" t="str">
        <x:f>IF(AND(AB$4&gt;=$C5,AB$4&lt;=$D5),"■","")</x:f>
      </x:c>
      <x:c r="AC5" s="47" t="str">
        <x:f>IF(AND(AC$4&gt;=$C5,AC$4&lt;=$D5),"■","")</x:f>
      </x:c>
      <x:c r="AD5" s="47" t="str">
        <x:f>IF(AND(AD$4&gt;=$C5,AD$4&lt;=$D5),"■","")</x:f>
      </x:c>
      <x:c r="AE5" s="47" t="str">
        <x:f>IF(AND(AE$4&gt;=$C5,AE$4&lt;=$D5),"■","")</x:f>
      </x:c>
      <x:c r="AF5" s="47" t="str">
        <x:f>IF(AND(AF$4&gt;=$C5,AF$4&lt;=$D5),"■","")</x:f>
      </x:c>
      <x:c r="AG5" s="47" t="str">
        <x:f>IF(AND(AG$4&gt;=$C5,AG$4&lt;=$D5),"■","")</x:f>
      </x:c>
      <x:c r="AH5" s="47" t="str">
        <x:f>IF(AND(AH$4&gt;=$C5,AH$4&lt;=$D5),"■","")</x:f>
      </x:c>
      <x:c r="AI5" s="47" t="str">
        <x:f>IF(AND(AI$4&gt;=$C5,AI$4&lt;=$D5),"■","")</x:f>
      </x:c>
    </x:row>
    <x:row r="6" ht="23" customHeight="1">
      <x:c r="A6" s="36" t="str">
        <x:f>'WBS'!A6</x:f>
        <x:v>0.2</x:v>
      </x:c>
      <x:c r="B6" s="28" t="str">
        <x:f>'WBS'!B6</x:f>
        <x:v>Set research questions and method</x:v>
      </x:c>
      <x:c r="C6" s="37" t="n">
        <x:f>'WBS'!D6</x:f>
        <x:v>46266</x:v>
      </x:c>
      <x:c r="D6" s="37" t="n">
        <x:f>'WBS'!E6</x:f>
        <x:v>46271</x:v>
      </x:c>
      <x:c r="E6" s="35" t="str">
        <x:f>'WBS'!F6</x:f>
        <x:v>Documented</x:v>
      </x:c>
      <x:c r="F6" s="47" t="str">
        <x:f>IF(AND(F$4&gt;=$C6,F$4&lt;=$D6),"■","")</x:f>
        <x:v>■</x:v>
      </x:c>
      <x:c r="G6" s="47" t="str">
        <x:f>IF(AND(G$4&gt;=$C6,G$4&lt;=$D6),"■","")</x:f>
        <x:v>■</x:v>
      </x:c>
      <x:c r="H6" s="47" t="str">
        <x:f>IF(AND(H$4&gt;=$C6,H$4&lt;=$D6),"■","")</x:f>
        <x:v>■</x:v>
      </x:c>
      <x:c r="I6" s="47" t="str">
        <x:f>IF(AND(I$4&gt;=$C6,I$4&lt;=$D6),"■","")</x:f>
        <x:v>■</x:v>
      </x:c>
      <x:c r="J6" s="47" t="str">
        <x:f>IF(AND(J$4&gt;=$C6,J$4&lt;=$D6),"■","")</x:f>
        <x:v>■</x:v>
      </x:c>
      <x:c r="K6" s="47" t="str">
        <x:f>IF(AND(K$4&gt;=$C6,K$4&lt;=$D6),"■","")</x:f>
        <x:v>■</x:v>
      </x:c>
      <x:c r="L6" s="47" t="str">
        <x:f>IF(AND(L$4&gt;=$C6,L$4&lt;=$D6),"■","")</x:f>
      </x:c>
      <x:c r="M6" s="47" t="str">
        <x:f>IF(AND(M$4&gt;=$C6,M$4&lt;=$D6),"■","")</x:f>
      </x:c>
      <x:c r="N6" s="47" t="str">
        <x:f>IF(AND(N$4&gt;=$C6,N$4&lt;=$D6),"■","")</x:f>
      </x:c>
      <x:c r="O6" s="47" t="str">
        <x:f>IF(AND(O$4&gt;=$C6,O$4&lt;=$D6),"■","")</x:f>
      </x:c>
      <x:c r="P6" s="47" t="str">
        <x:f>IF(AND(P$4&gt;=$C6,P$4&lt;=$D6),"■","")</x:f>
      </x:c>
      <x:c r="Q6" s="47" t="str">
        <x:f>IF(AND(Q$4&gt;=$C6,Q$4&lt;=$D6),"■","")</x:f>
      </x:c>
      <x:c r="R6" s="47" t="str">
        <x:f>IF(AND(R$4&gt;=$C6,R$4&lt;=$D6),"■","")</x:f>
      </x:c>
      <x:c r="S6" s="47" t="str">
        <x:f>IF(AND(S$4&gt;=$C6,S$4&lt;=$D6),"■","")</x:f>
      </x:c>
      <x:c r="T6" s="47" t="str">
        <x:f>IF(AND(T$4&gt;=$C6,T$4&lt;=$D6),"■","")</x:f>
      </x:c>
      <x:c r="U6" s="47" t="str">
        <x:f>IF(AND(U$4&gt;=$C6,U$4&lt;=$D6),"■","")</x:f>
      </x:c>
      <x:c r="V6" s="47" t="str">
        <x:f>IF(AND(V$4&gt;=$C6,V$4&lt;=$D6),"■","")</x:f>
      </x:c>
      <x:c r="W6" s="47" t="str">
        <x:f>IF(AND(W$4&gt;=$C6,W$4&lt;=$D6),"■","")</x:f>
      </x:c>
      <x:c r="X6" s="47" t="str">
        <x:f>IF(AND(X$4&gt;=$C6,X$4&lt;=$D6),"■","")</x:f>
      </x:c>
      <x:c r="Y6" s="47" t="str">
        <x:f>IF(AND(Y$4&gt;=$C6,Y$4&lt;=$D6),"■","")</x:f>
      </x:c>
      <x:c r="Z6" s="47" t="str">
        <x:f>IF(AND(Z$4&gt;=$C6,Z$4&lt;=$D6),"■","")</x:f>
      </x:c>
      <x:c r="AA6" s="47" t="str">
        <x:f>IF(AND(AA$4&gt;=$C6,AA$4&lt;=$D6),"■","")</x:f>
      </x:c>
      <x:c r="AB6" s="47" t="str">
        <x:f>IF(AND(AB$4&gt;=$C6,AB$4&lt;=$D6),"■","")</x:f>
      </x:c>
      <x:c r="AC6" s="47" t="str">
        <x:f>IF(AND(AC$4&gt;=$C6,AC$4&lt;=$D6),"■","")</x:f>
      </x:c>
      <x:c r="AD6" s="47" t="str">
        <x:f>IF(AND(AD$4&gt;=$C6,AD$4&lt;=$D6),"■","")</x:f>
      </x:c>
      <x:c r="AE6" s="47" t="str">
        <x:f>IF(AND(AE$4&gt;=$C6,AE$4&lt;=$D6),"■","")</x:f>
      </x:c>
      <x:c r="AF6" s="47" t="str">
        <x:f>IF(AND(AF$4&gt;=$C6,AF$4&lt;=$D6),"■","")</x:f>
      </x:c>
      <x:c r="AG6" s="47" t="str">
        <x:f>IF(AND(AG$4&gt;=$C6,AG$4&lt;=$D6),"■","")</x:f>
      </x:c>
      <x:c r="AH6" s="47" t="str">
        <x:f>IF(AND(AH$4&gt;=$C6,AH$4&lt;=$D6),"■","")</x:f>
      </x:c>
      <x:c r="AI6" s="47" t="str">
        <x:f>IF(AND(AI$4&gt;=$C6,AI$4&lt;=$D6),"■","")</x:f>
      </x:c>
    </x:row>
    <x:row r="7" ht="23" customHeight="1">
      <x:c r="A7" s="34" t="str">
        <x:f>'WBS'!A7</x:f>
        <x:v>0.3</x:v>
      </x:c>
      <x:c r="B7" s="1" t="str">
        <x:f>'WBS'!B7</x:f>
        <x:v>Outline requirements and acceptance criteria</x:v>
      </x:c>
      <x:c r="C7" s="18" t="n">
        <x:f>'WBS'!D7</x:f>
        <x:v>46267</x:v>
      </x:c>
      <x:c r="D7" s="18" t="n">
        <x:f>'WBS'!E7</x:f>
        <x:v>46271</x:v>
      </x:c>
      <x:c r="E7" s="35" t="str">
        <x:f>'WBS'!F7</x:f>
        <x:v>Documented</x:v>
      </x:c>
      <x:c r="F7" s="47" t="str">
        <x:f>IF(AND(F$4&gt;=$C7,F$4&lt;=$D7),"■","")</x:f>
      </x:c>
      <x:c r="G7" s="47" t="str">
        <x:f>IF(AND(G$4&gt;=$C7,G$4&lt;=$D7),"■","")</x:f>
        <x:v>■</x:v>
      </x:c>
      <x:c r="H7" s="47" t="str">
        <x:f>IF(AND(H$4&gt;=$C7,H$4&lt;=$D7),"■","")</x:f>
        <x:v>■</x:v>
      </x:c>
      <x:c r="I7" s="47" t="str">
        <x:f>IF(AND(I$4&gt;=$C7,I$4&lt;=$D7),"■","")</x:f>
        <x:v>■</x:v>
      </x:c>
      <x:c r="J7" s="47" t="str">
        <x:f>IF(AND(J$4&gt;=$C7,J$4&lt;=$D7),"■","")</x:f>
        <x:v>■</x:v>
      </x:c>
      <x:c r="K7" s="47" t="str">
        <x:f>IF(AND(K$4&gt;=$C7,K$4&lt;=$D7),"■","")</x:f>
        <x:v>■</x:v>
      </x:c>
      <x:c r="L7" s="47" t="str">
        <x:f>IF(AND(L$4&gt;=$C7,L$4&lt;=$D7),"■","")</x:f>
      </x:c>
      <x:c r="M7" s="47" t="str">
        <x:f>IF(AND(M$4&gt;=$C7,M$4&lt;=$D7),"■","")</x:f>
      </x:c>
      <x:c r="N7" s="47" t="str">
        <x:f>IF(AND(N$4&gt;=$C7,N$4&lt;=$D7),"■","")</x:f>
      </x:c>
      <x:c r="O7" s="47" t="str">
        <x:f>IF(AND(O$4&gt;=$C7,O$4&lt;=$D7),"■","")</x:f>
      </x:c>
      <x:c r="P7" s="47" t="str">
        <x:f>IF(AND(P$4&gt;=$C7,P$4&lt;=$D7),"■","")</x:f>
      </x:c>
      <x:c r="Q7" s="47" t="str">
        <x:f>IF(AND(Q$4&gt;=$C7,Q$4&lt;=$D7),"■","")</x:f>
      </x:c>
      <x:c r="R7" s="47" t="str">
        <x:f>IF(AND(R$4&gt;=$C7,R$4&lt;=$D7),"■","")</x:f>
      </x:c>
      <x:c r="S7" s="47" t="str">
        <x:f>IF(AND(S$4&gt;=$C7,S$4&lt;=$D7),"■","")</x:f>
      </x:c>
      <x:c r="T7" s="47" t="str">
        <x:f>IF(AND(T$4&gt;=$C7,T$4&lt;=$D7),"■","")</x:f>
      </x:c>
      <x:c r="U7" s="47" t="str">
        <x:f>IF(AND(U$4&gt;=$C7,U$4&lt;=$D7),"■","")</x:f>
      </x:c>
      <x:c r="V7" s="47" t="str">
        <x:f>IF(AND(V$4&gt;=$C7,V$4&lt;=$D7),"■","")</x:f>
      </x:c>
      <x:c r="W7" s="47" t="str">
        <x:f>IF(AND(W$4&gt;=$C7,W$4&lt;=$D7),"■","")</x:f>
      </x:c>
      <x:c r="X7" s="47" t="str">
        <x:f>IF(AND(X$4&gt;=$C7,X$4&lt;=$D7),"■","")</x:f>
      </x:c>
      <x:c r="Y7" s="47" t="str">
        <x:f>IF(AND(Y$4&gt;=$C7,Y$4&lt;=$D7),"■","")</x:f>
      </x:c>
      <x:c r="Z7" s="47" t="str">
        <x:f>IF(AND(Z$4&gt;=$C7,Z$4&lt;=$D7),"■","")</x:f>
      </x:c>
      <x:c r="AA7" s="47" t="str">
        <x:f>IF(AND(AA$4&gt;=$C7,AA$4&lt;=$D7),"■","")</x:f>
      </x:c>
      <x:c r="AB7" s="47" t="str">
        <x:f>IF(AND(AB$4&gt;=$C7,AB$4&lt;=$D7),"■","")</x:f>
      </x:c>
      <x:c r="AC7" s="47" t="str">
        <x:f>IF(AND(AC$4&gt;=$C7,AC$4&lt;=$D7),"■","")</x:f>
      </x:c>
      <x:c r="AD7" s="47" t="str">
        <x:f>IF(AND(AD$4&gt;=$C7,AD$4&lt;=$D7),"■","")</x:f>
      </x:c>
      <x:c r="AE7" s="47" t="str">
        <x:f>IF(AND(AE$4&gt;=$C7,AE$4&lt;=$D7),"■","")</x:f>
      </x:c>
      <x:c r="AF7" s="47" t="str">
        <x:f>IF(AND(AF$4&gt;=$C7,AF$4&lt;=$D7),"■","")</x:f>
      </x:c>
      <x:c r="AG7" s="47" t="str">
        <x:f>IF(AND(AG$4&gt;=$C7,AG$4&lt;=$D7),"■","")</x:f>
      </x:c>
      <x:c r="AH7" s="47" t="str">
        <x:f>IF(AND(AH$4&gt;=$C7,AH$4&lt;=$D7),"■","")</x:f>
      </x:c>
      <x:c r="AI7" s="47" t="str">
        <x:f>IF(AND(AI$4&gt;=$C7,AI$4&lt;=$D7),"■","")</x:f>
      </x:c>
    </x:row>
    <x:row r="8" ht="23" customHeight="1">
      <x:c r="A8" s="36" t="str">
        <x:f>'WBS'!A8</x:f>
        <x:v>0.4</x:v>
      </x:c>
      <x:c r="B8" s="28" t="str">
        <x:f>'WBS'!B8</x:f>
        <x:v>Draft logical architecture and stack options</x:v>
      </x:c>
      <x:c r="C8" s="37" t="n">
        <x:f>'WBS'!D8</x:f>
        <x:v>46267</x:v>
      </x:c>
      <x:c r="D8" s="37" t="n">
        <x:f>'WBS'!E8</x:f>
        <x:v>46271</x:v>
      </x:c>
      <x:c r="E8" s="35" t="str">
        <x:f>'WBS'!F8</x:f>
        <x:v>Documented</x:v>
      </x:c>
      <x:c r="F8" s="47" t="str">
        <x:f>IF(AND(F$4&gt;=$C8,F$4&lt;=$D8),"■","")</x:f>
      </x:c>
      <x:c r="G8" s="47" t="str">
        <x:f>IF(AND(G$4&gt;=$C8,G$4&lt;=$D8),"■","")</x:f>
        <x:v>■</x:v>
      </x:c>
      <x:c r="H8" s="47" t="str">
        <x:f>IF(AND(H$4&gt;=$C8,H$4&lt;=$D8),"■","")</x:f>
        <x:v>■</x:v>
      </x:c>
      <x:c r="I8" s="47" t="str">
        <x:f>IF(AND(I$4&gt;=$C8,I$4&lt;=$D8),"■","")</x:f>
        <x:v>■</x:v>
      </x:c>
      <x:c r="J8" s="47" t="str">
        <x:f>IF(AND(J$4&gt;=$C8,J$4&lt;=$D8),"■","")</x:f>
        <x:v>■</x:v>
      </x:c>
      <x:c r="K8" s="47" t="str">
        <x:f>IF(AND(K$4&gt;=$C8,K$4&lt;=$D8),"■","")</x:f>
        <x:v>■</x:v>
      </x:c>
      <x:c r="L8" s="47" t="str">
        <x:f>IF(AND(L$4&gt;=$C8,L$4&lt;=$D8),"■","")</x:f>
      </x:c>
      <x:c r="M8" s="47" t="str">
        <x:f>IF(AND(M$4&gt;=$C8,M$4&lt;=$D8),"■","")</x:f>
      </x:c>
      <x:c r="N8" s="47" t="str">
        <x:f>IF(AND(N$4&gt;=$C8,N$4&lt;=$D8),"■","")</x:f>
      </x:c>
      <x:c r="O8" s="47" t="str">
        <x:f>IF(AND(O$4&gt;=$C8,O$4&lt;=$D8),"■","")</x:f>
      </x:c>
      <x:c r="P8" s="47" t="str">
        <x:f>IF(AND(P$4&gt;=$C8,P$4&lt;=$D8),"■","")</x:f>
      </x:c>
      <x:c r="Q8" s="47" t="str">
        <x:f>IF(AND(Q$4&gt;=$C8,Q$4&lt;=$D8),"■","")</x:f>
      </x:c>
      <x:c r="R8" s="47" t="str">
        <x:f>IF(AND(R$4&gt;=$C8,R$4&lt;=$D8),"■","")</x:f>
      </x:c>
      <x:c r="S8" s="47" t="str">
        <x:f>IF(AND(S$4&gt;=$C8,S$4&lt;=$D8),"■","")</x:f>
      </x:c>
      <x:c r="T8" s="47" t="str">
        <x:f>IF(AND(T$4&gt;=$C8,T$4&lt;=$D8),"■","")</x:f>
      </x:c>
      <x:c r="U8" s="47" t="str">
        <x:f>IF(AND(U$4&gt;=$C8,U$4&lt;=$D8),"■","")</x:f>
      </x:c>
      <x:c r="V8" s="47" t="str">
        <x:f>IF(AND(V$4&gt;=$C8,V$4&lt;=$D8),"■","")</x:f>
      </x:c>
      <x:c r="W8" s="47" t="str">
        <x:f>IF(AND(W$4&gt;=$C8,W$4&lt;=$D8),"■","")</x:f>
      </x:c>
      <x:c r="X8" s="47" t="str">
        <x:f>IF(AND(X$4&gt;=$C8,X$4&lt;=$D8),"■","")</x:f>
      </x:c>
      <x:c r="Y8" s="47" t="str">
        <x:f>IF(AND(Y$4&gt;=$C8,Y$4&lt;=$D8),"■","")</x:f>
      </x:c>
      <x:c r="Z8" s="47" t="str">
        <x:f>IF(AND(Z$4&gt;=$C8,Z$4&lt;=$D8),"■","")</x:f>
      </x:c>
      <x:c r="AA8" s="47" t="str">
        <x:f>IF(AND(AA$4&gt;=$C8,AA$4&lt;=$D8),"■","")</x:f>
      </x:c>
      <x:c r="AB8" s="47" t="str">
        <x:f>IF(AND(AB$4&gt;=$C8,AB$4&lt;=$D8),"■","")</x:f>
      </x:c>
      <x:c r="AC8" s="47" t="str">
        <x:f>IF(AND(AC$4&gt;=$C8,AC$4&lt;=$D8),"■","")</x:f>
      </x:c>
      <x:c r="AD8" s="47" t="str">
        <x:f>IF(AND(AD$4&gt;=$C8,AD$4&lt;=$D8),"■","")</x:f>
      </x:c>
      <x:c r="AE8" s="47" t="str">
        <x:f>IF(AND(AE$4&gt;=$C8,AE$4&lt;=$D8),"■","")</x:f>
      </x:c>
      <x:c r="AF8" s="47" t="str">
        <x:f>IF(AND(AF$4&gt;=$C8,AF$4&lt;=$D8),"■","")</x:f>
      </x:c>
      <x:c r="AG8" s="47" t="str">
        <x:f>IF(AND(AG$4&gt;=$C8,AG$4&lt;=$D8),"■","")</x:f>
      </x:c>
      <x:c r="AH8" s="47" t="str">
        <x:f>IF(AND(AH$4&gt;=$C8,AH$4&lt;=$D8),"■","")</x:f>
      </x:c>
      <x:c r="AI8" s="47" t="str">
        <x:f>IF(AND(AI$4&gt;=$C8,AI$4&lt;=$D8),"■","")</x:f>
      </x:c>
    </x:row>
    <x:row r="9" ht="23" customHeight="1">
      <x:c r="A9" s="34" t="str">
        <x:f>'WBS'!A9</x:f>
        <x:v>1.1</x:v>
      </x:c>
      <x:c r="B9" s="1" t="str">
        <x:f>'WBS'!B9</x:f>
        <x:v>Profile reference FOCUS samples</x:v>
      </x:c>
      <x:c r="C9" s="18" t="n">
        <x:f>'WBS'!D9</x:f>
        <x:v>46266</x:v>
      </x:c>
      <x:c r="D9" s="18" t="n">
        <x:f>'WBS'!E9</x:f>
        <x:v>46269</x:v>
      </x:c>
      <x:c r="E9" s="35" t="str">
        <x:f>'WBS'!F9</x:f>
        <x:v>Documented</x:v>
      </x:c>
      <x:c r="F9" s="47" t="str">
        <x:f>IF(AND(F$4&gt;=$C9,F$4&lt;=$D9),"■","")</x:f>
        <x:v>■</x:v>
      </x:c>
      <x:c r="G9" s="47" t="str">
        <x:f>IF(AND(G$4&gt;=$C9,G$4&lt;=$D9),"■","")</x:f>
        <x:v>■</x:v>
      </x:c>
      <x:c r="H9" s="47" t="str">
        <x:f>IF(AND(H$4&gt;=$C9,H$4&lt;=$D9),"■","")</x:f>
        <x:v>■</x:v>
      </x:c>
      <x:c r="I9" s="47" t="str">
        <x:f>IF(AND(I$4&gt;=$C9,I$4&lt;=$D9),"■","")</x:f>
        <x:v>■</x:v>
      </x:c>
      <x:c r="J9" s="47" t="str">
        <x:f>IF(AND(J$4&gt;=$C9,J$4&lt;=$D9),"■","")</x:f>
      </x:c>
      <x:c r="K9" s="47" t="str">
        <x:f>IF(AND(K$4&gt;=$C9,K$4&lt;=$D9),"■","")</x:f>
      </x:c>
      <x:c r="L9" s="47" t="str">
        <x:f>IF(AND(L$4&gt;=$C9,L$4&lt;=$D9),"■","")</x:f>
      </x:c>
      <x:c r="M9" s="47" t="str">
        <x:f>IF(AND(M$4&gt;=$C9,M$4&lt;=$D9),"■","")</x:f>
      </x:c>
      <x:c r="N9" s="47" t="str">
        <x:f>IF(AND(N$4&gt;=$C9,N$4&lt;=$D9),"■","")</x:f>
      </x:c>
      <x:c r="O9" s="47" t="str">
        <x:f>IF(AND(O$4&gt;=$C9,O$4&lt;=$D9),"■","")</x:f>
      </x:c>
      <x:c r="P9" s="47" t="str">
        <x:f>IF(AND(P$4&gt;=$C9,P$4&lt;=$D9),"■","")</x:f>
      </x:c>
      <x:c r="Q9" s="47" t="str">
        <x:f>IF(AND(Q$4&gt;=$C9,Q$4&lt;=$D9),"■","")</x:f>
      </x:c>
      <x:c r="R9" s="47" t="str">
        <x:f>IF(AND(R$4&gt;=$C9,R$4&lt;=$D9),"■","")</x:f>
      </x:c>
      <x:c r="S9" s="47" t="str">
        <x:f>IF(AND(S$4&gt;=$C9,S$4&lt;=$D9),"■","")</x:f>
      </x:c>
      <x:c r="T9" s="47" t="str">
        <x:f>IF(AND(T$4&gt;=$C9,T$4&lt;=$D9),"■","")</x:f>
      </x:c>
      <x:c r="U9" s="47" t="str">
        <x:f>IF(AND(U$4&gt;=$C9,U$4&lt;=$D9),"■","")</x:f>
      </x:c>
      <x:c r="V9" s="47" t="str">
        <x:f>IF(AND(V$4&gt;=$C9,V$4&lt;=$D9),"■","")</x:f>
      </x:c>
      <x:c r="W9" s="47" t="str">
        <x:f>IF(AND(W$4&gt;=$C9,W$4&lt;=$D9),"■","")</x:f>
      </x:c>
      <x:c r="X9" s="47" t="str">
        <x:f>IF(AND(X$4&gt;=$C9,X$4&lt;=$D9),"■","")</x:f>
      </x:c>
      <x:c r="Y9" s="47" t="str">
        <x:f>IF(AND(Y$4&gt;=$C9,Y$4&lt;=$D9),"■","")</x:f>
      </x:c>
      <x:c r="Z9" s="47" t="str">
        <x:f>IF(AND(Z$4&gt;=$C9,Z$4&lt;=$D9),"■","")</x:f>
      </x:c>
      <x:c r="AA9" s="47" t="str">
        <x:f>IF(AND(AA$4&gt;=$C9,AA$4&lt;=$D9),"■","")</x:f>
      </x:c>
      <x:c r="AB9" s="47" t="str">
        <x:f>IF(AND(AB$4&gt;=$C9,AB$4&lt;=$D9),"■","")</x:f>
      </x:c>
      <x:c r="AC9" s="47" t="str">
        <x:f>IF(AND(AC$4&gt;=$C9,AC$4&lt;=$D9),"■","")</x:f>
      </x:c>
      <x:c r="AD9" s="47" t="str">
        <x:f>IF(AND(AD$4&gt;=$C9,AD$4&lt;=$D9),"■","")</x:f>
      </x:c>
      <x:c r="AE9" s="47" t="str">
        <x:f>IF(AND(AE$4&gt;=$C9,AE$4&lt;=$D9),"■","")</x:f>
      </x:c>
      <x:c r="AF9" s="47" t="str">
        <x:f>IF(AND(AF$4&gt;=$C9,AF$4&lt;=$D9),"■","")</x:f>
      </x:c>
      <x:c r="AG9" s="47" t="str">
        <x:f>IF(AND(AG$4&gt;=$C9,AG$4&lt;=$D9),"■","")</x:f>
      </x:c>
      <x:c r="AH9" s="47" t="str">
        <x:f>IF(AND(AH$4&gt;=$C9,AH$4&lt;=$D9),"■","")</x:f>
      </x:c>
      <x:c r="AI9" s="47" t="str">
        <x:f>IF(AND(AI$4&gt;=$C9,AI$4&lt;=$D9),"■","")</x:f>
      </x:c>
    </x:row>
    <x:row r="10" ht="23" customHeight="1">
      <x:c r="A10" s="36" t="str">
        <x:f>'WBS'!A10</x:f>
        <x:v>1.2</x:v>
      </x:c>
      <x:c r="B10" s="28" t="str">
        <x:f>'WBS'!B10</x:f>
        <x:v>Implement deterministic Daily generation</x:v>
      </x:c>
      <x:c r="C10" s="37" t="n">
        <x:f>'WBS'!D10</x:f>
        <x:v>46269</x:v>
      </x:c>
      <x:c r="D10" s="37" t="n">
        <x:f>'WBS'!E10</x:f>
        <x:v>46272</x:v>
      </x:c>
      <x:c r="E10" s="38" t="str">
        <x:f>'WBS'!F10</x:f>
        <x:v>Local validated</x:v>
      </x:c>
      <x:c r="F10" s="48" t="str">
        <x:f>IF(AND(F$4&gt;=$C10,F$4&lt;=$D10),"■","")</x:f>
      </x:c>
      <x:c r="G10" s="48" t="str">
        <x:f>IF(AND(G$4&gt;=$C10,G$4&lt;=$D10),"■","")</x:f>
      </x:c>
      <x:c r="H10" s="48" t="str">
        <x:f>IF(AND(H$4&gt;=$C10,H$4&lt;=$D10),"■","")</x:f>
      </x:c>
      <x:c r="I10" s="48" t="str">
        <x:f>IF(AND(I$4&gt;=$C10,I$4&lt;=$D10),"■","")</x:f>
        <x:v>■</x:v>
      </x:c>
      <x:c r="J10" s="48" t="str">
        <x:f>IF(AND(J$4&gt;=$C10,J$4&lt;=$D10),"■","")</x:f>
        <x:v>■</x:v>
      </x:c>
      <x:c r="K10" s="48" t="str">
        <x:f>IF(AND(K$4&gt;=$C10,K$4&lt;=$D10),"■","")</x:f>
        <x:v>■</x:v>
      </x:c>
      <x:c r="L10" s="48" t="str">
        <x:f>IF(AND(L$4&gt;=$C10,L$4&lt;=$D10),"■","")</x:f>
        <x:v>■</x:v>
      </x:c>
      <x:c r="M10" s="48" t="str">
        <x:f>IF(AND(M$4&gt;=$C10,M$4&lt;=$D10),"■","")</x:f>
      </x:c>
      <x:c r="N10" s="48" t="str">
        <x:f>IF(AND(N$4&gt;=$C10,N$4&lt;=$D10),"■","")</x:f>
      </x:c>
      <x:c r="O10" s="48" t="str">
        <x:f>IF(AND(O$4&gt;=$C10,O$4&lt;=$D10),"■","")</x:f>
      </x:c>
      <x:c r="P10" s="48" t="str">
        <x:f>IF(AND(P$4&gt;=$C10,P$4&lt;=$D10),"■","")</x:f>
      </x:c>
      <x:c r="Q10" s="48" t="str">
        <x:f>IF(AND(Q$4&gt;=$C10,Q$4&lt;=$D10),"■","")</x:f>
      </x:c>
      <x:c r="R10" s="48" t="str">
        <x:f>IF(AND(R$4&gt;=$C10,R$4&lt;=$D10),"■","")</x:f>
      </x:c>
      <x:c r="S10" s="48" t="str">
        <x:f>IF(AND(S$4&gt;=$C10,S$4&lt;=$D10),"■","")</x:f>
      </x:c>
      <x:c r="T10" s="48" t="str">
        <x:f>IF(AND(T$4&gt;=$C10,T$4&lt;=$D10),"■","")</x:f>
      </x:c>
      <x:c r="U10" s="48" t="str">
        <x:f>IF(AND(U$4&gt;=$C10,U$4&lt;=$D10),"■","")</x:f>
      </x:c>
      <x:c r="V10" s="48" t="str">
        <x:f>IF(AND(V$4&gt;=$C10,V$4&lt;=$D10),"■","")</x:f>
      </x:c>
      <x:c r="W10" s="48" t="str">
        <x:f>IF(AND(W$4&gt;=$C10,W$4&lt;=$D10),"■","")</x:f>
      </x:c>
      <x:c r="X10" s="48" t="str">
        <x:f>IF(AND(X$4&gt;=$C10,X$4&lt;=$D10),"■","")</x:f>
      </x:c>
      <x:c r="Y10" s="48" t="str">
        <x:f>IF(AND(Y$4&gt;=$C10,Y$4&lt;=$D10),"■","")</x:f>
      </x:c>
      <x:c r="Z10" s="48" t="str">
        <x:f>IF(AND(Z$4&gt;=$C10,Z$4&lt;=$D10),"■","")</x:f>
      </x:c>
      <x:c r="AA10" s="48" t="str">
        <x:f>IF(AND(AA$4&gt;=$C10,AA$4&lt;=$D10),"■","")</x:f>
      </x:c>
      <x:c r="AB10" s="48" t="str">
        <x:f>IF(AND(AB$4&gt;=$C10,AB$4&lt;=$D10),"■","")</x:f>
      </x:c>
      <x:c r="AC10" s="48" t="str">
        <x:f>IF(AND(AC$4&gt;=$C10,AC$4&lt;=$D10),"■","")</x:f>
      </x:c>
      <x:c r="AD10" s="48" t="str">
        <x:f>IF(AND(AD$4&gt;=$C10,AD$4&lt;=$D10),"■","")</x:f>
      </x:c>
      <x:c r="AE10" s="48" t="str">
        <x:f>IF(AND(AE$4&gt;=$C10,AE$4&lt;=$D10),"■","")</x:f>
      </x:c>
      <x:c r="AF10" s="48" t="str">
        <x:f>IF(AND(AF$4&gt;=$C10,AF$4&lt;=$D10),"■","")</x:f>
      </x:c>
      <x:c r="AG10" s="48" t="str">
        <x:f>IF(AND(AG$4&gt;=$C10,AG$4&lt;=$D10),"■","")</x:f>
      </x:c>
      <x:c r="AH10" s="48" t="str">
        <x:f>IF(AND(AH$4&gt;=$C10,AH$4&lt;=$D10),"■","")</x:f>
      </x:c>
      <x:c r="AI10" s="48" t="str">
        <x:f>IF(AND(AI$4&gt;=$C10,AI$4&lt;=$D10),"■","")</x:f>
      </x:c>
    </x:row>
    <x:row r="11" ht="23" customHeight="1">
      <x:c r="A11" s="34" t="str">
        <x:f>'WBS'!A11</x:f>
        <x:v>1.3</x:v>
      </x:c>
      <x:c r="B11" s="1" t="str">
        <x:f>'WBS'!B11</x:f>
        <x:v>Build monthly billing simulator</x:v>
      </x:c>
      <x:c r="C11" s="18" t="n">
        <x:f>'WBS'!D11</x:f>
        <x:v>46271</x:v>
      </x:c>
      <x:c r="D11" s="18" t="n">
        <x:f>'WBS'!E11</x:f>
        <x:v>46273</x:v>
      </x:c>
      <x:c r="E11" s="38" t="str">
        <x:f>'WBS'!F11</x:f>
        <x:v>Local validated</x:v>
      </x:c>
      <x:c r="F11" s="48" t="str">
        <x:f>IF(AND(F$4&gt;=$C11,F$4&lt;=$D11),"■","")</x:f>
      </x:c>
      <x:c r="G11" s="48" t="str">
        <x:f>IF(AND(G$4&gt;=$C11,G$4&lt;=$D11),"■","")</x:f>
      </x:c>
      <x:c r="H11" s="48" t="str">
        <x:f>IF(AND(H$4&gt;=$C11,H$4&lt;=$D11),"■","")</x:f>
      </x:c>
      <x:c r="I11" s="48" t="str">
        <x:f>IF(AND(I$4&gt;=$C11,I$4&lt;=$D11),"■","")</x:f>
      </x:c>
      <x:c r="J11" s="48" t="str">
        <x:f>IF(AND(J$4&gt;=$C11,J$4&lt;=$D11),"■","")</x:f>
      </x:c>
      <x:c r="K11" s="48" t="str">
        <x:f>IF(AND(K$4&gt;=$C11,K$4&lt;=$D11),"■","")</x:f>
        <x:v>■</x:v>
      </x:c>
      <x:c r="L11" s="48" t="str">
        <x:f>IF(AND(L$4&gt;=$C11,L$4&lt;=$D11),"■","")</x:f>
        <x:v>■</x:v>
      </x:c>
      <x:c r="M11" s="48" t="str">
        <x:f>IF(AND(M$4&gt;=$C11,M$4&lt;=$D11),"■","")</x:f>
        <x:v>■</x:v>
      </x:c>
      <x:c r="N11" s="48" t="str">
        <x:f>IF(AND(N$4&gt;=$C11,N$4&lt;=$D11),"■","")</x:f>
      </x:c>
      <x:c r="O11" s="48" t="str">
        <x:f>IF(AND(O$4&gt;=$C11,O$4&lt;=$D11),"■","")</x:f>
      </x:c>
      <x:c r="P11" s="48" t="str">
        <x:f>IF(AND(P$4&gt;=$C11,P$4&lt;=$D11),"■","")</x:f>
      </x:c>
      <x:c r="Q11" s="48" t="str">
        <x:f>IF(AND(Q$4&gt;=$C11,Q$4&lt;=$D11),"■","")</x:f>
      </x:c>
      <x:c r="R11" s="48" t="str">
        <x:f>IF(AND(R$4&gt;=$C11,R$4&lt;=$D11),"■","")</x:f>
      </x:c>
      <x:c r="S11" s="48" t="str">
        <x:f>IF(AND(S$4&gt;=$C11,S$4&lt;=$D11),"■","")</x:f>
      </x:c>
      <x:c r="T11" s="48" t="str">
        <x:f>IF(AND(T$4&gt;=$C11,T$4&lt;=$D11),"■","")</x:f>
      </x:c>
      <x:c r="U11" s="48" t="str">
        <x:f>IF(AND(U$4&gt;=$C11,U$4&lt;=$D11),"■","")</x:f>
      </x:c>
      <x:c r="V11" s="48" t="str">
        <x:f>IF(AND(V$4&gt;=$C11,V$4&lt;=$D11),"■","")</x:f>
      </x:c>
      <x:c r="W11" s="48" t="str">
        <x:f>IF(AND(W$4&gt;=$C11,W$4&lt;=$D11),"■","")</x:f>
      </x:c>
      <x:c r="X11" s="48" t="str">
        <x:f>IF(AND(X$4&gt;=$C11,X$4&lt;=$D11),"■","")</x:f>
      </x:c>
      <x:c r="Y11" s="48" t="str">
        <x:f>IF(AND(Y$4&gt;=$C11,Y$4&lt;=$D11),"■","")</x:f>
      </x:c>
      <x:c r="Z11" s="48" t="str">
        <x:f>IF(AND(Z$4&gt;=$C11,Z$4&lt;=$D11),"■","")</x:f>
      </x:c>
      <x:c r="AA11" s="48" t="str">
        <x:f>IF(AND(AA$4&gt;=$C11,AA$4&lt;=$D11),"■","")</x:f>
      </x:c>
      <x:c r="AB11" s="48" t="str">
        <x:f>IF(AND(AB$4&gt;=$C11,AB$4&lt;=$D11),"■","")</x:f>
      </x:c>
      <x:c r="AC11" s="48" t="str">
        <x:f>IF(AND(AC$4&gt;=$C11,AC$4&lt;=$D11),"■","")</x:f>
      </x:c>
      <x:c r="AD11" s="48" t="str">
        <x:f>IF(AND(AD$4&gt;=$C11,AD$4&lt;=$D11),"■","")</x:f>
      </x:c>
      <x:c r="AE11" s="48" t="str">
        <x:f>IF(AND(AE$4&gt;=$C11,AE$4&lt;=$D11),"■","")</x:f>
      </x:c>
      <x:c r="AF11" s="48" t="str">
        <x:f>IF(AND(AF$4&gt;=$C11,AF$4&lt;=$D11),"■","")</x:f>
      </x:c>
      <x:c r="AG11" s="48" t="str">
        <x:f>IF(AND(AG$4&gt;=$C11,AG$4&lt;=$D11),"■","")</x:f>
      </x:c>
      <x:c r="AH11" s="48" t="str">
        <x:f>IF(AND(AH$4&gt;=$C11,AH$4&lt;=$D11),"■","")</x:f>
      </x:c>
      <x:c r="AI11" s="48" t="str">
        <x:f>IF(AND(AI$4&gt;=$C11,AI$4&lt;=$D11),"■","")</x:f>
      </x:c>
    </x:row>
    <x:row r="12" ht="23" customHeight="1">
      <x:c r="A12" s="36" t="str">
        <x:f>'WBS'!A12</x:f>
        <x:v>1.4</x:v>
      </x:c>
      <x:c r="B12" s="28" t="str">
        <x:f>'WBS'!B12</x:f>
        <x:v>Generate Daily and monthly history</x:v>
      </x:c>
      <x:c r="C12" s="37" t="n">
        <x:f>'WBS'!D12</x:f>
        <x:v>46272</x:v>
      </x:c>
      <x:c r="D12" s="37" t="n">
        <x:f>'WBS'!E12</x:f>
        <x:v>46284</x:v>
      </x:c>
      <x:c r="E12" s="38" t="str">
        <x:f>'WBS'!F12</x:f>
        <x:v>Local validated</x:v>
      </x:c>
      <x:c r="F12" s="48" t="str">
        <x:f>IF(AND(F$4&gt;=$C12,F$4&lt;=$D12),"■","")</x:f>
      </x:c>
      <x:c r="G12" s="48" t="str">
        <x:f>IF(AND(G$4&gt;=$C12,G$4&lt;=$D12),"■","")</x:f>
      </x:c>
      <x:c r="H12" s="48" t="str">
        <x:f>IF(AND(H$4&gt;=$C12,H$4&lt;=$D12),"■","")</x:f>
      </x:c>
      <x:c r="I12" s="48" t="str">
        <x:f>IF(AND(I$4&gt;=$C12,I$4&lt;=$D12),"■","")</x:f>
      </x:c>
      <x:c r="J12" s="48" t="str">
        <x:f>IF(AND(J$4&gt;=$C12,J$4&lt;=$D12),"■","")</x:f>
      </x:c>
      <x:c r="K12" s="48" t="str">
        <x:f>IF(AND(K$4&gt;=$C12,K$4&lt;=$D12),"■","")</x:f>
      </x:c>
      <x:c r="L12" s="48" t="str">
        <x:f>IF(AND(L$4&gt;=$C12,L$4&lt;=$D12),"■","")</x:f>
        <x:v>■</x:v>
      </x:c>
      <x:c r="M12" s="48" t="str">
        <x:f>IF(AND(M$4&gt;=$C12,M$4&lt;=$D12),"■","")</x:f>
        <x:v>■</x:v>
      </x:c>
      <x:c r="N12" s="48" t="str">
        <x:f>IF(AND(N$4&gt;=$C12,N$4&lt;=$D12),"■","")</x:f>
        <x:v>■</x:v>
      </x:c>
      <x:c r="O12" s="48" t="str">
        <x:f>IF(AND(O$4&gt;=$C12,O$4&lt;=$D12),"■","")</x:f>
        <x:v>■</x:v>
      </x:c>
      <x:c r="P12" s="48" t="str">
        <x:f>IF(AND(P$4&gt;=$C12,P$4&lt;=$D12),"■","")</x:f>
        <x:v>■</x:v>
      </x:c>
      <x:c r="Q12" s="48" t="str">
        <x:f>IF(AND(Q$4&gt;=$C12,Q$4&lt;=$D12),"■","")</x:f>
        <x:v>■</x:v>
      </x:c>
      <x:c r="R12" s="48" t="str">
        <x:f>IF(AND(R$4&gt;=$C12,R$4&lt;=$D12),"■","")</x:f>
        <x:v>■</x:v>
      </x:c>
      <x:c r="S12" s="48" t="str">
        <x:f>IF(AND(S$4&gt;=$C12,S$4&lt;=$D12),"■","")</x:f>
        <x:v>■</x:v>
      </x:c>
      <x:c r="T12" s="48" t="str">
        <x:f>IF(AND(T$4&gt;=$C12,T$4&lt;=$D12),"■","")</x:f>
        <x:v>■</x:v>
      </x:c>
      <x:c r="U12" s="48" t="str">
        <x:f>IF(AND(U$4&gt;=$C12,U$4&lt;=$D12),"■","")</x:f>
        <x:v>■</x:v>
      </x:c>
      <x:c r="V12" s="48" t="str">
        <x:f>IF(AND(V$4&gt;=$C12,V$4&lt;=$D12),"■","")</x:f>
        <x:v>■</x:v>
      </x:c>
      <x:c r="W12" s="48" t="str">
        <x:f>IF(AND(W$4&gt;=$C12,W$4&lt;=$D12),"■","")</x:f>
        <x:v>■</x:v>
      </x:c>
      <x:c r="X12" s="48" t="str">
        <x:f>IF(AND(X$4&gt;=$C12,X$4&lt;=$D12),"■","")</x:f>
        <x:v>■</x:v>
      </x:c>
      <x:c r="Y12" s="48" t="str">
        <x:f>IF(AND(Y$4&gt;=$C12,Y$4&lt;=$D12),"■","")</x:f>
      </x:c>
      <x:c r="Z12" s="48" t="str">
        <x:f>IF(AND(Z$4&gt;=$C12,Z$4&lt;=$D12),"■","")</x:f>
      </x:c>
      <x:c r="AA12" s="48" t="str">
        <x:f>IF(AND(AA$4&gt;=$C12,AA$4&lt;=$D12),"■","")</x:f>
      </x:c>
      <x:c r="AB12" s="48" t="str">
        <x:f>IF(AND(AB$4&gt;=$C12,AB$4&lt;=$D12),"■","")</x:f>
      </x:c>
      <x:c r="AC12" s="48" t="str">
        <x:f>IF(AND(AC$4&gt;=$C12,AC$4&lt;=$D12),"■","")</x:f>
      </x:c>
      <x:c r="AD12" s="48" t="str">
        <x:f>IF(AND(AD$4&gt;=$C12,AD$4&lt;=$D12),"■","")</x:f>
      </x:c>
      <x:c r="AE12" s="48" t="str">
        <x:f>IF(AND(AE$4&gt;=$C12,AE$4&lt;=$D12),"■","")</x:f>
      </x:c>
      <x:c r="AF12" s="48" t="str">
        <x:f>IF(AND(AF$4&gt;=$C12,AF$4&lt;=$D12),"■","")</x:f>
      </x:c>
      <x:c r="AG12" s="48" t="str">
        <x:f>IF(AND(AG$4&gt;=$C12,AG$4&lt;=$D12),"■","")</x:f>
      </x:c>
      <x:c r="AH12" s="48" t="str">
        <x:f>IF(AND(AH$4&gt;=$C12,AH$4&lt;=$D12),"■","")</x:f>
      </x:c>
      <x:c r="AI12" s="48" t="str">
        <x:f>IF(AND(AI$4&gt;=$C12,AI$4&lt;=$D12),"■","")</x:f>
      </x:c>
    </x:row>
    <x:row r="13" ht="23" customHeight="1">
      <x:c r="A13" s="34" t="str">
        <x:f>'WBS'!A13</x:f>
        <x:v>1.5</x:v>
      </x:c>
      <x:c r="B13" s="1" t="str">
        <x:f>'WBS'!B13</x:f>
        <x:v>Validate Daily and monthly files</x:v>
      </x:c>
      <x:c r="C13" s="18" t="n">
        <x:f>'WBS'!D13</x:f>
        <x:v>46284</x:v>
      </x:c>
      <x:c r="D13" s="18" t="n">
        <x:f>'WBS'!E13</x:f>
        <x:v>46292</x:v>
      </x:c>
      <x:c r="E13" s="38" t="str">
        <x:f>'WBS'!F13</x:f>
        <x:v>Local validated</x:v>
      </x:c>
      <x:c r="F13" s="48" t="str">
        <x:f>IF(AND(F$4&gt;=$C13,F$4&lt;=$D13),"■","")</x:f>
      </x:c>
      <x:c r="G13" s="48" t="str">
        <x:f>IF(AND(G$4&gt;=$C13,G$4&lt;=$D13),"■","")</x:f>
      </x:c>
      <x:c r="H13" s="48" t="str">
        <x:f>IF(AND(H$4&gt;=$C13,H$4&lt;=$D13),"■","")</x:f>
      </x:c>
      <x:c r="I13" s="48" t="str">
        <x:f>IF(AND(I$4&gt;=$C13,I$4&lt;=$D13),"■","")</x:f>
      </x:c>
      <x:c r="J13" s="48" t="str">
        <x:f>IF(AND(J$4&gt;=$C13,J$4&lt;=$D13),"■","")</x:f>
      </x:c>
      <x:c r="K13" s="48" t="str">
        <x:f>IF(AND(K$4&gt;=$C13,K$4&lt;=$D13),"■","")</x:f>
      </x:c>
      <x:c r="L13" s="48" t="str">
        <x:f>IF(AND(L$4&gt;=$C13,L$4&lt;=$D13),"■","")</x:f>
      </x:c>
      <x:c r="M13" s="48" t="str">
        <x:f>IF(AND(M$4&gt;=$C13,M$4&lt;=$D13),"■","")</x:f>
      </x:c>
      <x:c r="N13" s="48" t="str">
        <x:f>IF(AND(N$4&gt;=$C13,N$4&lt;=$D13),"■","")</x:f>
      </x:c>
      <x:c r="O13" s="48" t="str">
        <x:f>IF(AND(O$4&gt;=$C13,O$4&lt;=$D13),"■","")</x:f>
      </x:c>
      <x:c r="P13" s="48" t="str">
        <x:f>IF(AND(P$4&gt;=$C13,P$4&lt;=$D13),"■","")</x:f>
      </x:c>
      <x:c r="Q13" s="48" t="str">
        <x:f>IF(AND(Q$4&gt;=$C13,Q$4&lt;=$D13),"■","")</x:f>
      </x:c>
      <x:c r="R13" s="48" t="str">
        <x:f>IF(AND(R$4&gt;=$C13,R$4&lt;=$D13),"■","")</x:f>
      </x:c>
      <x:c r="S13" s="48" t="str">
        <x:f>IF(AND(S$4&gt;=$C13,S$4&lt;=$D13),"■","")</x:f>
      </x:c>
      <x:c r="T13" s="48" t="str">
        <x:f>IF(AND(T$4&gt;=$C13,T$4&lt;=$D13),"■","")</x:f>
      </x:c>
      <x:c r="U13" s="48" t="str">
        <x:f>IF(AND(U$4&gt;=$C13,U$4&lt;=$D13),"■","")</x:f>
      </x:c>
      <x:c r="V13" s="48" t="str">
        <x:f>IF(AND(V$4&gt;=$C13,V$4&lt;=$D13),"■","")</x:f>
      </x:c>
      <x:c r="W13" s="48" t="str">
        <x:f>IF(AND(W$4&gt;=$C13,W$4&lt;=$D13),"■","")</x:f>
      </x:c>
      <x:c r="X13" s="48" t="str">
        <x:f>IF(AND(X$4&gt;=$C13,X$4&lt;=$D13),"■","")</x:f>
        <x:v>■</x:v>
      </x:c>
      <x:c r="Y13" s="48" t="str">
        <x:f>IF(AND(Y$4&gt;=$C13,Y$4&lt;=$D13),"■","")</x:f>
        <x:v>■</x:v>
      </x:c>
      <x:c r="Z13" s="48" t="str">
        <x:f>IF(AND(Z$4&gt;=$C13,Z$4&lt;=$D13),"■","")</x:f>
        <x:v>■</x:v>
      </x:c>
      <x:c r="AA13" s="48" t="str">
        <x:f>IF(AND(AA$4&gt;=$C13,AA$4&lt;=$D13),"■","")</x:f>
        <x:v>■</x:v>
      </x:c>
      <x:c r="AB13" s="48" t="str">
        <x:f>IF(AND(AB$4&gt;=$C13,AB$4&lt;=$D13),"■","")</x:f>
        <x:v>■</x:v>
      </x:c>
      <x:c r="AC13" s="48" t="str">
        <x:f>IF(AND(AC$4&gt;=$C13,AC$4&lt;=$D13),"■","")</x:f>
        <x:v>■</x:v>
      </x:c>
      <x:c r="AD13" s="48" t="str">
        <x:f>IF(AND(AD$4&gt;=$C13,AD$4&lt;=$D13),"■","")</x:f>
        <x:v>■</x:v>
      </x:c>
      <x:c r="AE13" s="48" t="str">
        <x:f>IF(AND(AE$4&gt;=$C13,AE$4&lt;=$D13),"■","")</x:f>
        <x:v>■</x:v>
      </x:c>
      <x:c r="AF13" s="48" t="str">
        <x:f>IF(AND(AF$4&gt;=$C13,AF$4&lt;=$D13),"■","")</x:f>
        <x:v>■</x:v>
      </x:c>
      <x:c r="AG13" s="48" t="str">
        <x:f>IF(AND(AG$4&gt;=$C13,AG$4&lt;=$D13),"■","")</x:f>
      </x:c>
      <x:c r="AH13" s="48" t="str">
        <x:f>IF(AND(AH$4&gt;=$C13,AH$4&lt;=$D13),"■","")</x:f>
      </x:c>
      <x:c r="AI13" s="48" t="str">
        <x:f>IF(AND(AI$4&gt;=$C13,AI$4&lt;=$D13),"■","")</x:f>
      </x:c>
    </x:row>
    <x:row r="14" ht="23" customHeight="1">
      <x:c r="A14" s="36" t="str">
        <x:f>'WBS'!A14</x:f>
        <x:v>2.1</x:v>
      </x:c>
      <x:c r="B14" s="28" t="str">
        <x:f>'WBS'!B14</x:f>
        <x:v>Implement local medallion pipeline</x:v>
      </x:c>
      <x:c r="C14" s="37" t="n">
        <x:f>'WBS'!D14</x:f>
        <x:v>46272</x:v>
      </x:c>
      <x:c r="D14" s="37" t="n">
        <x:f>'WBS'!E14</x:f>
        <x:v>46279</x:v>
      </x:c>
      <x:c r="E14" s="38" t="str">
        <x:f>'WBS'!F14</x:f>
        <x:v>Local validated</x:v>
      </x:c>
      <x:c r="F14" s="48" t="str">
        <x:f>IF(AND(F$4&gt;=$C14,F$4&lt;=$D14),"■","")</x:f>
      </x:c>
      <x:c r="G14" s="48" t="str">
        <x:f>IF(AND(G$4&gt;=$C14,G$4&lt;=$D14),"■","")</x:f>
      </x:c>
      <x:c r="H14" s="48" t="str">
        <x:f>IF(AND(H$4&gt;=$C14,H$4&lt;=$D14),"■","")</x:f>
      </x:c>
      <x:c r="I14" s="48" t="str">
        <x:f>IF(AND(I$4&gt;=$C14,I$4&lt;=$D14),"■","")</x:f>
      </x:c>
      <x:c r="J14" s="48" t="str">
        <x:f>IF(AND(J$4&gt;=$C14,J$4&lt;=$D14),"■","")</x:f>
      </x:c>
      <x:c r="K14" s="48" t="str">
        <x:f>IF(AND(K$4&gt;=$C14,K$4&lt;=$D14),"■","")</x:f>
      </x:c>
      <x:c r="L14" s="48" t="str">
        <x:f>IF(AND(L$4&gt;=$C14,L$4&lt;=$D14),"■","")</x:f>
        <x:v>■</x:v>
      </x:c>
      <x:c r="M14" s="48" t="str">
        <x:f>IF(AND(M$4&gt;=$C14,M$4&lt;=$D14),"■","")</x:f>
        <x:v>■</x:v>
      </x:c>
      <x:c r="N14" s="48" t="str">
        <x:f>IF(AND(N$4&gt;=$C14,N$4&lt;=$D14),"■","")</x:f>
        <x:v>■</x:v>
      </x:c>
      <x:c r="O14" s="48" t="str">
        <x:f>IF(AND(O$4&gt;=$C14,O$4&lt;=$D14),"■","")</x:f>
        <x:v>■</x:v>
      </x:c>
      <x:c r="P14" s="48" t="str">
        <x:f>IF(AND(P$4&gt;=$C14,P$4&lt;=$D14),"■","")</x:f>
        <x:v>■</x:v>
      </x:c>
      <x:c r="Q14" s="48" t="str">
        <x:f>IF(AND(Q$4&gt;=$C14,Q$4&lt;=$D14),"■","")</x:f>
        <x:v>■</x:v>
      </x:c>
      <x:c r="R14" s="48" t="str">
        <x:f>IF(AND(R$4&gt;=$C14,R$4&lt;=$D14),"■","")</x:f>
        <x:v>■</x:v>
      </x:c>
      <x:c r="S14" s="48" t="str">
        <x:f>IF(AND(S$4&gt;=$C14,S$4&lt;=$D14),"■","")</x:f>
        <x:v>■</x:v>
      </x:c>
      <x:c r="T14" s="48" t="str">
        <x:f>IF(AND(T$4&gt;=$C14,T$4&lt;=$D14),"■","")</x:f>
      </x:c>
      <x:c r="U14" s="48" t="str">
        <x:f>IF(AND(U$4&gt;=$C14,U$4&lt;=$D14),"■","")</x:f>
      </x:c>
      <x:c r="V14" s="48" t="str">
        <x:f>IF(AND(V$4&gt;=$C14,V$4&lt;=$D14),"■","")</x:f>
      </x:c>
      <x:c r="W14" s="48" t="str">
        <x:f>IF(AND(W$4&gt;=$C14,W$4&lt;=$D14),"■","")</x:f>
      </x:c>
      <x:c r="X14" s="48" t="str">
        <x:f>IF(AND(X$4&gt;=$C14,X$4&lt;=$D14),"■","")</x:f>
      </x:c>
      <x:c r="Y14" s="48" t="str">
        <x:f>IF(AND(Y$4&gt;=$C14,Y$4&lt;=$D14),"■","")</x:f>
      </x:c>
      <x:c r="Z14" s="48" t="str">
        <x:f>IF(AND(Z$4&gt;=$C14,Z$4&lt;=$D14),"■","")</x:f>
      </x:c>
      <x:c r="AA14" s="48" t="str">
        <x:f>IF(AND(AA$4&gt;=$C14,AA$4&lt;=$D14),"■","")</x:f>
      </x:c>
      <x:c r="AB14" s="48" t="str">
        <x:f>IF(AND(AB$4&gt;=$C14,AB$4&lt;=$D14),"■","")</x:f>
      </x:c>
      <x:c r="AC14" s="48" t="str">
        <x:f>IF(AND(AC$4&gt;=$C14,AC$4&lt;=$D14),"■","")</x:f>
      </x:c>
      <x:c r="AD14" s="48" t="str">
        <x:f>IF(AND(AD$4&gt;=$C14,AD$4&lt;=$D14),"■","")</x:f>
      </x:c>
      <x:c r="AE14" s="48" t="str">
        <x:f>IF(AND(AE$4&gt;=$C14,AE$4&lt;=$D14),"■","")</x:f>
      </x:c>
      <x:c r="AF14" s="48" t="str">
        <x:f>IF(AND(AF$4&gt;=$C14,AF$4&lt;=$D14),"■","")</x:f>
      </x:c>
      <x:c r="AG14" s="48" t="str">
        <x:f>IF(AND(AG$4&gt;=$C14,AG$4&lt;=$D14),"■","")</x:f>
      </x:c>
      <x:c r="AH14" s="48" t="str">
        <x:f>IF(AND(AH$4&gt;=$C14,AH$4&lt;=$D14),"■","")</x:f>
      </x:c>
      <x:c r="AI14" s="48" t="str">
        <x:f>IF(AND(AI$4&gt;=$C14,AI$4&lt;=$D14),"■","")</x:f>
      </x:c>
    </x:row>
    <x:row r="15" ht="23" customHeight="1">
      <x:c r="A15" s="34" t="str">
        <x:f>'WBS'!A15</x:f>
        <x:v>2.2</x:v>
      </x:c>
      <x:c r="B15" s="1" t="str">
        <x:f>'WBS'!B15</x:f>
        <x:v>Publish DuckDB model and datamarts</x:v>
      </x:c>
      <x:c r="C15" s="18" t="n">
        <x:f>'WBS'!D15</x:f>
        <x:v>46275</x:v>
      </x:c>
      <x:c r="D15" s="18" t="n">
        <x:f>'WBS'!E15</x:f>
        <x:v>46279</x:v>
      </x:c>
      <x:c r="E15" s="38" t="str">
        <x:f>'WBS'!F15</x:f>
        <x:v>Local validated</x:v>
      </x:c>
      <x:c r="F15" s="48" t="str">
        <x:f>IF(AND(F$4&gt;=$C15,F$4&lt;=$D15),"■","")</x:f>
      </x:c>
      <x:c r="G15" s="48" t="str">
        <x:f>IF(AND(G$4&gt;=$C15,G$4&lt;=$D15),"■","")</x:f>
      </x:c>
      <x:c r="H15" s="48" t="str">
        <x:f>IF(AND(H$4&gt;=$C15,H$4&lt;=$D15),"■","")</x:f>
      </x:c>
      <x:c r="I15" s="48" t="str">
        <x:f>IF(AND(I$4&gt;=$C15,I$4&lt;=$D15),"■","")</x:f>
      </x:c>
      <x:c r="J15" s="48" t="str">
        <x:f>IF(AND(J$4&gt;=$C15,J$4&lt;=$D15),"■","")</x:f>
      </x:c>
      <x:c r="K15" s="48" t="str">
        <x:f>IF(AND(K$4&gt;=$C15,K$4&lt;=$D15),"■","")</x:f>
      </x:c>
      <x:c r="L15" s="48" t="str">
        <x:f>IF(AND(L$4&gt;=$C15,L$4&lt;=$D15),"■","")</x:f>
      </x:c>
      <x:c r="M15" s="48" t="str">
        <x:f>IF(AND(M$4&gt;=$C15,M$4&lt;=$D15),"■","")</x:f>
      </x:c>
      <x:c r="N15" s="48" t="str">
        <x:f>IF(AND(N$4&gt;=$C15,N$4&lt;=$D15),"■","")</x:f>
      </x:c>
      <x:c r="O15" s="48" t="str">
        <x:f>IF(AND(O$4&gt;=$C15,O$4&lt;=$D15),"■","")</x:f>
        <x:v>■</x:v>
      </x:c>
      <x:c r="P15" s="48" t="str">
        <x:f>IF(AND(P$4&gt;=$C15,P$4&lt;=$D15),"■","")</x:f>
        <x:v>■</x:v>
      </x:c>
      <x:c r="Q15" s="48" t="str">
        <x:f>IF(AND(Q$4&gt;=$C15,Q$4&lt;=$D15),"■","")</x:f>
        <x:v>■</x:v>
      </x:c>
      <x:c r="R15" s="48" t="str">
        <x:f>IF(AND(R$4&gt;=$C15,R$4&lt;=$D15),"■","")</x:f>
        <x:v>■</x:v>
      </x:c>
      <x:c r="S15" s="48" t="str">
        <x:f>IF(AND(S$4&gt;=$C15,S$4&lt;=$D15),"■","")</x:f>
        <x:v>■</x:v>
      </x:c>
      <x:c r="T15" s="48" t="str">
        <x:f>IF(AND(T$4&gt;=$C15,T$4&lt;=$D15),"■","")</x:f>
      </x:c>
      <x:c r="U15" s="48" t="str">
        <x:f>IF(AND(U$4&gt;=$C15,U$4&lt;=$D15),"■","")</x:f>
      </x:c>
      <x:c r="V15" s="48" t="str">
        <x:f>IF(AND(V$4&gt;=$C15,V$4&lt;=$D15),"■","")</x:f>
      </x:c>
      <x:c r="W15" s="48" t="str">
        <x:f>IF(AND(W$4&gt;=$C15,W$4&lt;=$D15),"■","")</x:f>
      </x:c>
      <x:c r="X15" s="48" t="str">
        <x:f>IF(AND(X$4&gt;=$C15,X$4&lt;=$D15),"■","")</x:f>
      </x:c>
      <x:c r="Y15" s="48" t="str">
        <x:f>IF(AND(Y$4&gt;=$C15,Y$4&lt;=$D15),"■","")</x:f>
      </x:c>
      <x:c r="Z15" s="48" t="str">
        <x:f>IF(AND(Z$4&gt;=$C15,Z$4&lt;=$D15),"■","")</x:f>
      </x:c>
      <x:c r="AA15" s="48" t="str">
        <x:f>IF(AND(AA$4&gt;=$C15,AA$4&lt;=$D15),"■","")</x:f>
      </x:c>
      <x:c r="AB15" s="48" t="str">
        <x:f>IF(AND(AB$4&gt;=$C15,AB$4&lt;=$D15),"■","")</x:f>
      </x:c>
      <x:c r="AC15" s="48" t="str">
        <x:f>IF(AND(AC$4&gt;=$C15,AC$4&lt;=$D15),"■","")</x:f>
      </x:c>
      <x:c r="AD15" s="48" t="str">
        <x:f>IF(AND(AD$4&gt;=$C15,AD$4&lt;=$D15),"■","")</x:f>
      </x:c>
      <x:c r="AE15" s="48" t="str">
        <x:f>IF(AND(AE$4&gt;=$C15,AE$4&lt;=$D15),"■","")</x:f>
      </x:c>
      <x:c r="AF15" s="48" t="str">
        <x:f>IF(AND(AF$4&gt;=$C15,AF$4&lt;=$D15),"■","")</x:f>
      </x:c>
      <x:c r="AG15" s="48" t="str">
        <x:f>IF(AND(AG$4&gt;=$C15,AG$4&lt;=$D15),"■","")</x:f>
      </x:c>
      <x:c r="AH15" s="48" t="str">
        <x:f>IF(AND(AH$4&gt;=$C15,AH$4&lt;=$D15),"■","")</x:f>
      </x:c>
      <x:c r="AI15" s="48" t="str">
        <x:f>IF(AND(AI$4&gt;=$C15,AI$4&lt;=$D15),"■","")</x:f>
      </x:c>
    </x:row>
    <x:row r="16" ht="23" customHeight="1">
      <x:c r="A16" s="36" t="str">
        <x:f>'WBS'!A16</x:f>
        <x:v>2.3</x:v>
      </x:c>
      <x:c r="B16" s="28" t="str">
        <x:f>'WBS'!B16</x:f>
        <x:v>Build local Streamlit dashboard</x:v>
      </x:c>
      <x:c r="C16" s="37" t="n">
        <x:f>'WBS'!D16</x:f>
        <x:v>46278</x:v>
      </x:c>
      <x:c r="D16" s="37" t="n">
        <x:f>'WBS'!E16</x:f>
        <x:v>46279</x:v>
      </x:c>
      <x:c r="E16" s="38" t="str">
        <x:f>'WBS'!F16</x:f>
        <x:v>Local validated</x:v>
      </x:c>
      <x:c r="F16" s="48" t="str">
        <x:f>IF(AND(F$4&gt;=$C16,F$4&lt;=$D16),"■","")</x:f>
      </x:c>
      <x:c r="G16" s="48" t="str">
        <x:f>IF(AND(G$4&gt;=$C16,G$4&lt;=$D16),"■","")</x:f>
      </x:c>
      <x:c r="H16" s="48" t="str">
        <x:f>IF(AND(H$4&gt;=$C16,H$4&lt;=$D16),"■","")</x:f>
      </x:c>
      <x:c r="I16" s="48" t="str">
        <x:f>IF(AND(I$4&gt;=$C16,I$4&lt;=$D16),"■","")</x:f>
      </x:c>
      <x:c r="J16" s="48" t="str">
        <x:f>IF(AND(J$4&gt;=$C16,J$4&lt;=$D16),"■","")</x:f>
      </x:c>
      <x:c r="K16" s="48" t="str">
        <x:f>IF(AND(K$4&gt;=$C16,K$4&lt;=$D16),"■","")</x:f>
      </x:c>
      <x:c r="L16" s="48" t="str">
        <x:f>IF(AND(L$4&gt;=$C16,L$4&lt;=$D16),"■","")</x:f>
      </x:c>
      <x:c r="M16" s="48" t="str">
        <x:f>IF(AND(M$4&gt;=$C16,M$4&lt;=$D16),"■","")</x:f>
      </x:c>
      <x:c r="N16" s="48" t="str">
        <x:f>IF(AND(N$4&gt;=$C16,N$4&lt;=$D16),"■","")</x:f>
      </x:c>
      <x:c r="O16" s="48" t="str">
        <x:f>IF(AND(O$4&gt;=$C16,O$4&lt;=$D16),"■","")</x:f>
      </x:c>
      <x:c r="P16" s="48" t="str">
        <x:f>IF(AND(P$4&gt;=$C16,P$4&lt;=$D16),"■","")</x:f>
      </x:c>
      <x:c r="Q16" s="48" t="str">
        <x:f>IF(AND(Q$4&gt;=$C16,Q$4&lt;=$D16),"■","")</x:f>
      </x:c>
      <x:c r="R16" s="48" t="str">
        <x:f>IF(AND(R$4&gt;=$C16,R$4&lt;=$D16),"■","")</x:f>
        <x:v>■</x:v>
      </x:c>
      <x:c r="S16" s="48" t="str">
        <x:f>IF(AND(S$4&gt;=$C16,S$4&lt;=$D16),"■","")</x:f>
        <x:v>■</x:v>
      </x:c>
      <x:c r="T16" s="48" t="str">
        <x:f>IF(AND(T$4&gt;=$C16,T$4&lt;=$D16),"■","")</x:f>
      </x:c>
      <x:c r="U16" s="48" t="str">
        <x:f>IF(AND(U$4&gt;=$C16,U$4&lt;=$D16),"■","")</x:f>
      </x:c>
      <x:c r="V16" s="48" t="str">
        <x:f>IF(AND(V$4&gt;=$C16,V$4&lt;=$D16),"■","")</x:f>
      </x:c>
      <x:c r="W16" s="48" t="str">
        <x:f>IF(AND(W$4&gt;=$C16,W$4&lt;=$D16),"■","")</x:f>
      </x:c>
      <x:c r="X16" s="48" t="str">
        <x:f>IF(AND(X$4&gt;=$C16,X$4&lt;=$D16),"■","")</x:f>
      </x:c>
      <x:c r="Y16" s="48" t="str">
        <x:f>IF(AND(Y$4&gt;=$C16,Y$4&lt;=$D16),"■","")</x:f>
      </x:c>
      <x:c r="Z16" s="48" t="str">
        <x:f>IF(AND(Z$4&gt;=$C16,Z$4&lt;=$D16),"■","")</x:f>
      </x:c>
      <x:c r="AA16" s="48" t="str">
        <x:f>IF(AND(AA$4&gt;=$C16,AA$4&lt;=$D16),"■","")</x:f>
      </x:c>
      <x:c r="AB16" s="48" t="str">
        <x:f>IF(AND(AB$4&gt;=$C16,AB$4&lt;=$D16),"■","")</x:f>
      </x:c>
      <x:c r="AC16" s="48" t="str">
        <x:f>IF(AND(AC$4&gt;=$C16,AC$4&lt;=$D16),"■","")</x:f>
      </x:c>
      <x:c r="AD16" s="48" t="str">
        <x:f>IF(AND(AD$4&gt;=$C16,AD$4&lt;=$D16),"■","")</x:f>
      </x:c>
      <x:c r="AE16" s="48" t="str">
        <x:f>IF(AND(AE$4&gt;=$C16,AE$4&lt;=$D16),"■","")</x:f>
      </x:c>
      <x:c r="AF16" s="48" t="str">
        <x:f>IF(AND(AF$4&gt;=$C16,AF$4&lt;=$D16),"■","")</x:f>
      </x:c>
      <x:c r="AG16" s="48" t="str">
        <x:f>IF(AND(AG$4&gt;=$C16,AG$4&lt;=$D16),"■","")</x:f>
      </x:c>
      <x:c r="AH16" s="48" t="str">
        <x:f>IF(AND(AH$4&gt;=$C16,AH$4&lt;=$D16),"■","")</x:f>
      </x:c>
      <x:c r="AI16" s="48" t="str">
        <x:f>IF(AND(AI$4&gt;=$C16,AI$4&lt;=$D16),"■","")</x:f>
      </x:c>
    </x:row>
    <x:row r="17" ht="23" customHeight="1">
      <x:c r="A17" s="34" t="str">
        <x:f>'WBS'!A17</x:f>
        <x:v>2.4</x:v>
      </x:c>
      <x:c r="B17" s="1" t="str">
        <x:f>'WBS'!B17</x:f>
        <x:v>Reconcile local analytical outputs</x:v>
      </x:c>
      <x:c r="C17" s="18" t="n">
        <x:f>'WBS'!D17</x:f>
        <x:v>46279</x:v>
      </x:c>
      <x:c r="D17" s="18" t="n">
        <x:f>'WBS'!E17</x:f>
        <x:v>46292</x:v>
      </x:c>
      <x:c r="E17" s="38" t="str">
        <x:f>'WBS'!F17</x:f>
        <x:v>Local validated</x:v>
      </x:c>
      <x:c r="F17" s="48" t="str">
        <x:f>IF(AND(F$4&gt;=$C17,F$4&lt;=$D17),"■","")</x:f>
      </x:c>
      <x:c r="G17" s="48" t="str">
        <x:f>IF(AND(G$4&gt;=$C17,G$4&lt;=$D17),"■","")</x:f>
      </x:c>
      <x:c r="H17" s="48" t="str">
        <x:f>IF(AND(H$4&gt;=$C17,H$4&lt;=$D17),"■","")</x:f>
      </x:c>
      <x:c r="I17" s="48" t="str">
        <x:f>IF(AND(I$4&gt;=$C17,I$4&lt;=$D17),"■","")</x:f>
      </x:c>
      <x:c r="J17" s="48" t="str">
        <x:f>IF(AND(J$4&gt;=$C17,J$4&lt;=$D17),"■","")</x:f>
      </x:c>
      <x:c r="K17" s="48" t="str">
        <x:f>IF(AND(K$4&gt;=$C17,K$4&lt;=$D17),"■","")</x:f>
      </x:c>
      <x:c r="L17" s="48" t="str">
        <x:f>IF(AND(L$4&gt;=$C17,L$4&lt;=$D17),"■","")</x:f>
      </x:c>
      <x:c r="M17" s="48" t="str">
        <x:f>IF(AND(M$4&gt;=$C17,M$4&lt;=$D17),"■","")</x:f>
      </x:c>
      <x:c r="N17" s="48" t="str">
        <x:f>IF(AND(N$4&gt;=$C17,N$4&lt;=$D17),"■","")</x:f>
      </x:c>
      <x:c r="O17" s="48" t="str">
        <x:f>IF(AND(O$4&gt;=$C17,O$4&lt;=$D17),"■","")</x:f>
      </x:c>
      <x:c r="P17" s="48" t="str">
        <x:f>IF(AND(P$4&gt;=$C17,P$4&lt;=$D17),"■","")</x:f>
      </x:c>
      <x:c r="Q17" s="48" t="str">
        <x:f>IF(AND(Q$4&gt;=$C17,Q$4&lt;=$D17),"■","")</x:f>
      </x:c>
      <x:c r="R17" s="48" t="str">
        <x:f>IF(AND(R$4&gt;=$C17,R$4&lt;=$D17),"■","")</x:f>
      </x:c>
      <x:c r="S17" s="48" t="str">
        <x:f>IF(AND(S$4&gt;=$C17,S$4&lt;=$D17),"■","")</x:f>
        <x:v>■</x:v>
      </x:c>
      <x:c r="T17" s="48" t="str">
        <x:f>IF(AND(T$4&gt;=$C17,T$4&lt;=$D17),"■","")</x:f>
        <x:v>■</x:v>
      </x:c>
      <x:c r="U17" s="48" t="str">
        <x:f>IF(AND(U$4&gt;=$C17,U$4&lt;=$D17),"■","")</x:f>
        <x:v>■</x:v>
      </x:c>
      <x:c r="V17" s="48" t="str">
        <x:f>IF(AND(V$4&gt;=$C17,V$4&lt;=$D17),"■","")</x:f>
        <x:v>■</x:v>
      </x:c>
      <x:c r="W17" s="48" t="str">
        <x:f>IF(AND(W$4&gt;=$C17,W$4&lt;=$D17),"■","")</x:f>
        <x:v>■</x:v>
      </x:c>
      <x:c r="X17" s="48" t="str">
        <x:f>IF(AND(X$4&gt;=$C17,X$4&lt;=$D17),"■","")</x:f>
        <x:v>■</x:v>
      </x:c>
      <x:c r="Y17" s="48" t="str">
        <x:f>IF(AND(Y$4&gt;=$C17,Y$4&lt;=$D17),"■","")</x:f>
        <x:v>■</x:v>
      </x:c>
      <x:c r="Z17" s="48" t="str">
        <x:f>IF(AND(Z$4&gt;=$C17,Z$4&lt;=$D17),"■","")</x:f>
        <x:v>■</x:v>
      </x:c>
      <x:c r="AA17" s="48" t="str">
        <x:f>IF(AND(AA$4&gt;=$C17,AA$4&lt;=$D17),"■","")</x:f>
        <x:v>■</x:v>
      </x:c>
      <x:c r="AB17" s="48" t="str">
        <x:f>IF(AND(AB$4&gt;=$C17,AB$4&lt;=$D17),"■","")</x:f>
        <x:v>■</x:v>
      </x:c>
      <x:c r="AC17" s="48" t="str">
        <x:f>IF(AND(AC$4&gt;=$C17,AC$4&lt;=$D17),"■","")</x:f>
        <x:v>■</x:v>
      </x:c>
      <x:c r="AD17" s="48" t="str">
        <x:f>IF(AND(AD$4&gt;=$C17,AD$4&lt;=$D17),"■","")</x:f>
        <x:v>■</x:v>
      </x:c>
      <x:c r="AE17" s="48" t="str">
        <x:f>IF(AND(AE$4&gt;=$C17,AE$4&lt;=$D17),"■","")</x:f>
        <x:v>■</x:v>
      </x:c>
      <x:c r="AF17" s="48" t="str">
        <x:f>IF(AND(AF$4&gt;=$C17,AF$4&lt;=$D17),"■","")</x:f>
        <x:v>■</x:v>
      </x:c>
      <x:c r="AG17" s="48" t="str">
        <x:f>IF(AND(AG$4&gt;=$C17,AG$4&lt;=$D17),"■","")</x:f>
      </x:c>
      <x:c r="AH17" s="48" t="str">
        <x:f>IF(AND(AH$4&gt;=$C17,AH$4&lt;=$D17),"■","")</x:f>
      </x:c>
      <x:c r="AI17" s="48" t="str">
        <x:f>IF(AND(AI$4&gt;=$C17,AI$4&lt;=$D17),"■","")</x:f>
      </x:c>
    </x:row>
    <x:row r="18" ht="23" customHeight="1">
      <x:c r="A18" s="36" t="str">
        <x:f>'WBS'!A18</x:f>
        <x:v>3.1</x:v>
      </x:c>
      <x:c r="B18" s="28" t="str">
        <x:f>'WBS'!B18</x:f>
        <x:v>Separate generator, POC and cloud code</x:v>
      </x:c>
      <x:c r="C18" s="37" t="n">
        <x:f>'WBS'!D18</x:f>
        <x:v>46284</x:v>
      </x:c>
      <x:c r="D18" s="37" t="n">
        <x:f>'WBS'!E18</x:f>
        <x:v>46284</x:v>
      </x:c>
      <x:c r="E18" s="35" t="str">
        <x:f>'WBS'!F18</x:f>
        <x:v>Documented</x:v>
      </x:c>
      <x:c r="F18" s="47" t="str">
        <x:f>IF(AND(F$4&gt;=$C18,F$4&lt;=$D18),"■","")</x:f>
      </x:c>
      <x:c r="G18" s="47" t="str">
        <x:f>IF(AND(G$4&gt;=$C18,G$4&lt;=$D18),"■","")</x:f>
      </x:c>
      <x:c r="H18" s="47" t="str">
        <x:f>IF(AND(H$4&gt;=$C18,H$4&lt;=$D18),"■","")</x:f>
      </x:c>
      <x:c r="I18" s="47" t="str">
        <x:f>IF(AND(I$4&gt;=$C18,I$4&lt;=$D18),"■","")</x:f>
      </x:c>
      <x:c r="J18" s="47" t="str">
        <x:f>IF(AND(J$4&gt;=$C18,J$4&lt;=$D18),"■","")</x:f>
      </x:c>
      <x:c r="K18" s="47" t="str">
        <x:f>IF(AND(K$4&gt;=$C18,K$4&lt;=$D18),"■","")</x:f>
      </x:c>
      <x:c r="L18" s="47" t="str">
        <x:f>IF(AND(L$4&gt;=$C18,L$4&lt;=$D18),"■","")</x:f>
      </x:c>
      <x:c r="M18" s="47" t="str">
        <x:f>IF(AND(M$4&gt;=$C18,M$4&lt;=$D18),"■","")</x:f>
      </x:c>
      <x:c r="N18" s="47" t="str">
        <x:f>IF(AND(N$4&gt;=$C18,N$4&lt;=$D18),"■","")</x:f>
      </x:c>
      <x:c r="O18" s="47" t="str">
        <x:f>IF(AND(O$4&gt;=$C18,O$4&lt;=$D18),"■","")</x:f>
      </x:c>
      <x:c r="P18" s="47" t="str">
        <x:f>IF(AND(P$4&gt;=$C18,P$4&lt;=$D18),"■","")</x:f>
      </x:c>
      <x:c r="Q18" s="47" t="str">
        <x:f>IF(AND(Q$4&gt;=$C18,Q$4&lt;=$D18),"■","")</x:f>
      </x:c>
      <x:c r="R18" s="47" t="str">
        <x:f>IF(AND(R$4&gt;=$C18,R$4&lt;=$D18),"■","")</x:f>
      </x:c>
      <x:c r="S18" s="47" t="str">
        <x:f>IF(AND(S$4&gt;=$C18,S$4&lt;=$D18),"■","")</x:f>
      </x:c>
      <x:c r="T18" s="47" t="str">
        <x:f>IF(AND(T$4&gt;=$C18,T$4&lt;=$D18),"■","")</x:f>
      </x:c>
      <x:c r="U18" s="47" t="str">
        <x:f>IF(AND(U$4&gt;=$C18,U$4&lt;=$D18),"■","")</x:f>
      </x:c>
      <x:c r="V18" s="47" t="str">
        <x:f>IF(AND(V$4&gt;=$C18,V$4&lt;=$D18),"■","")</x:f>
      </x:c>
      <x:c r="W18" s="47" t="str">
        <x:f>IF(AND(W$4&gt;=$C18,W$4&lt;=$D18),"■","")</x:f>
      </x:c>
      <x:c r="X18" s="47" t="str">
        <x:f>IF(AND(X$4&gt;=$C18,X$4&lt;=$D18),"■","")</x:f>
        <x:v>■</x:v>
      </x:c>
      <x:c r="Y18" s="47" t="str">
        <x:f>IF(AND(Y$4&gt;=$C18,Y$4&lt;=$D18),"■","")</x:f>
      </x:c>
      <x:c r="Z18" s="47" t="str">
        <x:f>IF(AND(Z$4&gt;=$C18,Z$4&lt;=$D18),"■","")</x:f>
      </x:c>
      <x:c r="AA18" s="47" t="str">
        <x:f>IF(AND(AA$4&gt;=$C18,AA$4&lt;=$D18),"■","")</x:f>
      </x:c>
      <x:c r="AB18" s="47" t="str">
        <x:f>IF(AND(AB$4&gt;=$C18,AB$4&lt;=$D18),"■","")</x:f>
      </x:c>
      <x:c r="AC18" s="47" t="str">
        <x:f>IF(AND(AC$4&gt;=$C18,AC$4&lt;=$D18),"■","")</x:f>
      </x:c>
      <x:c r="AD18" s="47" t="str">
        <x:f>IF(AND(AD$4&gt;=$C18,AD$4&lt;=$D18),"■","")</x:f>
      </x:c>
      <x:c r="AE18" s="47" t="str">
        <x:f>IF(AND(AE$4&gt;=$C18,AE$4&lt;=$D18),"■","")</x:f>
      </x:c>
      <x:c r="AF18" s="47" t="str">
        <x:f>IF(AND(AF$4&gt;=$C18,AF$4&lt;=$D18),"■","")</x:f>
      </x:c>
      <x:c r="AG18" s="47" t="str">
        <x:f>IF(AND(AG$4&gt;=$C18,AG$4&lt;=$D18),"■","")</x:f>
      </x:c>
      <x:c r="AH18" s="47" t="str">
        <x:f>IF(AND(AH$4&gt;=$C18,AH$4&lt;=$D18),"■","")</x:f>
      </x:c>
      <x:c r="AI18" s="47" t="str">
        <x:f>IF(AND(AI$4&gt;=$C18,AI$4&lt;=$D18),"■","")</x:f>
      </x:c>
    </x:row>
    <x:row r="19" ht="23" customHeight="1">
      <x:c r="A19" s="34" t="str">
        <x:f>'WBS'!A19</x:f>
        <x:v>3.2</x:v>
      </x:c>
      <x:c r="B19" s="1" t="str">
        <x:f>'WBS'!B19</x:f>
        <x:v>Implement cloud Gold and datamart SQL</x:v>
      </x:c>
      <x:c r="C19" s="18" t="n">
        <x:f>'WBS'!D19</x:f>
        <x:v>46284</x:v>
      </x:c>
      <x:c r="D19" s="18" t="n">
        <x:f>'WBS'!E19</x:f>
        <x:v>46285</x:v>
      </x:c>
      <x:c r="E19" s="35" t="str">
        <x:f>'WBS'!F19</x:f>
        <x:v>Documented</x:v>
      </x:c>
      <x:c r="F19" s="47" t="str">
        <x:f>IF(AND(F$4&gt;=$C19,F$4&lt;=$D19),"■","")</x:f>
      </x:c>
      <x:c r="G19" s="47" t="str">
        <x:f>IF(AND(G$4&gt;=$C19,G$4&lt;=$D19),"■","")</x:f>
      </x:c>
      <x:c r="H19" s="47" t="str">
        <x:f>IF(AND(H$4&gt;=$C19,H$4&lt;=$D19),"■","")</x:f>
      </x:c>
      <x:c r="I19" s="47" t="str">
        <x:f>IF(AND(I$4&gt;=$C19,I$4&lt;=$D19),"■","")</x:f>
      </x:c>
      <x:c r="J19" s="47" t="str">
        <x:f>IF(AND(J$4&gt;=$C19,J$4&lt;=$D19),"■","")</x:f>
      </x:c>
      <x:c r="K19" s="47" t="str">
        <x:f>IF(AND(K$4&gt;=$C19,K$4&lt;=$D19),"■","")</x:f>
      </x:c>
      <x:c r="L19" s="47" t="str">
        <x:f>IF(AND(L$4&gt;=$C19,L$4&lt;=$D19),"■","")</x:f>
      </x:c>
      <x:c r="M19" s="47" t="str">
        <x:f>IF(AND(M$4&gt;=$C19,M$4&lt;=$D19),"■","")</x:f>
      </x:c>
      <x:c r="N19" s="47" t="str">
        <x:f>IF(AND(N$4&gt;=$C19,N$4&lt;=$D19),"■","")</x:f>
      </x:c>
      <x:c r="O19" s="47" t="str">
        <x:f>IF(AND(O$4&gt;=$C19,O$4&lt;=$D19),"■","")</x:f>
      </x:c>
      <x:c r="P19" s="47" t="str">
        <x:f>IF(AND(P$4&gt;=$C19,P$4&lt;=$D19),"■","")</x:f>
      </x:c>
      <x:c r="Q19" s="47" t="str">
        <x:f>IF(AND(Q$4&gt;=$C19,Q$4&lt;=$D19),"■","")</x:f>
      </x:c>
      <x:c r="R19" s="47" t="str">
        <x:f>IF(AND(R$4&gt;=$C19,R$4&lt;=$D19),"■","")</x:f>
      </x:c>
      <x:c r="S19" s="47" t="str">
        <x:f>IF(AND(S$4&gt;=$C19,S$4&lt;=$D19),"■","")</x:f>
      </x:c>
      <x:c r="T19" s="47" t="str">
        <x:f>IF(AND(T$4&gt;=$C19,T$4&lt;=$D19),"■","")</x:f>
      </x:c>
      <x:c r="U19" s="47" t="str">
        <x:f>IF(AND(U$4&gt;=$C19,U$4&lt;=$D19),"■","")</x:f>
      </x:c>
      <x:c r="V19" s="47" t="str">
        <x:f>IF(AND(V$4&gt;=$C19,V$4&lt;=$D19),"■","")</x:f>
      </x:c>
      <x:c r="W19" s="47" t="str">
        <x:f>IF(AND(W$4&gt;=$C19,W$4&lt;=$D19),"■","")</x:f>
      </x:c>
      <x:c r="X19" s="47" t="str">
        <x:f>IF(AND(X$4&gt;=$C19,X$4&lt;=$D19),"■","")</x:f>
        <x:v>■</x:v>
      </x:c>
      <x:c r="Y19" s="47" t="str">
        <x:f>IF(AND(Y$4&gt;=$C19,Y$4&lt;=$D19),"■","")</x:f>
        <x:v>■</x:v>
      </x:c>
      <x:c r="Z19" s="47" t="str">
        <x:f>IF(AND(Z$4&gt;=$C19,Z$4&lt;=$D19),"■","")</x:f>
      </x:c>
      <x:c r="AA19" s="47" t="str">
        <x:f>IF(AND(AA$4&gt;=$C19,AA$4&lt;=$D19),"■","")</x:f>
      </x:c>
      <x:c r="AB19" s="47" t="str">
        <x:f>IF(AND(AB$4&gt;=$C19,AB$4&lt;=$D19),"■","")</x:f>
      </x:c>
      <x:c r="AC19" s="47" t="str">
        <x:f>IF(AND(AC$4&gt;=$C19,AC$4&lt;=$D19),"■","")</x:f>
      </x:c>
      <x:c r="AD19" s="47" t="str">
        <x:f>IF(AND(AD$4&gt;=$C19,AD$4&lt;=$D19),"■","")</x:f>
      </x:c>
      <x:c r="AE19" s="47" t="str">
        <x:f>IF(AND(AE$4&gt;=$C19,AE$4&lt;=$D19),"■","")</x:f>
      </x:c>
      <x:c r="AF19" s="47" t="str">
        <x:f>IF(AND(AF$4&gt;=$C19,AF$4&lt;=$D19),"■","")</x:f>
      </x:c>
      <x:c r="AG19" s="47" t="str">
        <x:f>IF(AND(AG$4&gt;=$C19,AG$4&lt;=$D19),"■","")</x:f>
      </x:c>
      <x:c r="AH19" s="47" t="str">
        <x:f>IF(AND(AH$4&gt;=$C19,AH$4&lt;=$D19),"■","")</x:f>
      </x:c>
      <x:c r="AI19" s="47" t="str">
        <x:f>IF(AND(AI$4&gt;=$C19,AI$4&lt;=$D19),"■","")</x:f>
      </x:c>
    </x:row>
    <x:row r="20" ht="23" customHeight="1">
      <x:c r="A20" s="36" t="str">
        <x:f>'WBS'!A20</x:f>
        <x:v>3.3</x:v>
      </x:c>
      <x:c r="B20" s="28" t="str">
        <x:f>'WBS'!B20</x:f>
        <x:v>Define cloud pipeline and audit modules</x:v>
      </x:c>
      <x:c r="C20" s="37" t="n">
        <x:f>'WBS'!D20</x:f>
        <x:v>46284</x:v>
      </x:c>
      <x:c r="D20" s="37" t="n">
        <x:f>'WBS'!E20</x:f>
        <x:v>46285</x:v>
      </x:c>
      <x:c r="E20" s="35" t="str">
        <x:f>'WBS'!F20</x:f>
        <x:v>Documented</x:v>
      </x:c>
      <x:c r="F20" s="47" t="str">
        <x:f>IF(AND(F$4&gt;=$C20,F$4&lt;=$D20),"■","")</x:f>
      </x:c>
      <x:c r="G20" s="47" t="str">
        <x:f>IF(AND(G$4&gt;=$C20,G$4&lt;=$D20),"■","")</x:f>
      </x:c>
      <x:c r="H20" s="47" t="str">
        <x:f>IF(AND(H$4&gt;=$C20,H$4&lt;=$D20),"■","")</x:f>
      </x:c>
      <x:c r="I20" s="47" t="str">
        <x:f>IF(AND(I$4&gt;=$C20,I$4&lt;=$D20),"■","")</x:f>
      </x:c>
      <x:c r="J20" s="47" t="str">
        <x:f>IF(AND(J$4&gt;=$C20,J$4&lt;=$D20),"■","")</x:f>
      </x:c>
      <x:c r="K20" s="47" t="str">
        <x:f>IF(AND(K$4&gt;=$C20,K$4&lt;=$D20),"■","")</x:f>
      </x:c>
      <x:c r="L20" s="47" t="str">
        <x:f>IF(AND(L$4&gt;=$C20,L$4&lt;=$D20),"■","")</x:f>
      </x:c>
      <x:c r="M20" s="47" t="str">
        <x:f>IF(AND(M$4&gt;=$C20,M$4&lt;=$D20),"■","")</x:f>
      </x:c>
      <x:c r="N20" s="47" t="str">
        <x:f>IF(AND(N$4&gt;=$C20,N$4&lt;=$D20),"■","")</x:f>
      </x:c>
      <x:c r="O20" s="47" t="str">
        <x:f>IF(AND(O$4&gt;=$C20,O$4&lt;=$D20),"■","")</x:f>
      </x:c>
      <x:c r="P20" s="47" t="str">
        <x:f>IF(AND(P$4&gt;=$C20,P$4&lt;=$D20),"■","")</x:f>
      </x:c>
      <x:c r="Q20" s="47" t="str">
        <x:f>IF(AND(Q$4&gt;=$C20,Q$4&lt;=$D20),"■","")</x:f>
      </x:c>
      <x:c r="R20" s="47" t="str">
        <x:f>IF(AND(R$4&gt;=$C20,R$4&lt;=$D20),"■","")</x:f>
      </x:c>
      <x:c r="S20" s="47" t="str">
        <x:f>IF(AND(S$4&gt;=$C20,S$4&lt;=$D20),"■","")</x:f>
      </x:c>
      <x:c r="T20" s="47" t="str">
        <x:f>IF(AND(T$4&gt;=$C20,T$4&lt;=$D20),"■","")</x:f>
      </x:c>
      <x:c r="U20" s="47" t="str">
        <x:f>IF(AND(U$4&gt;=$C20,U$4&lt;=$D20),"■","")</x:f>
      </x:c>
      <x:c r="V20" s="47" t="str">
        <x:f>IF(AND(V$4&gt;=$C20,V$4&lt;=$D20),"■","")</x:f>
      </x:c>
      <x:c r="W20" s="47" t="str">
        <x:f>IF(AND(W$4&gt;=$C20,W$4&lt;=$D20),"■","")</x:f>
      </x:c>
      <x:c r="X20" s="47" t="str">
        <x:f>IF(AND(X$4&gt;=$C20,X$4&lt;=$D20),"■","")</x:f>
        <x:v>■</x:v>
      </x:c>
      <x:c r="Y20" s="47" t="str">
        <x:f>IF(AND(Y$4&gt;=$C20,Y$4&lt;=$D20),"■","")</x:f>
        <x:v>■</x:v>
      </x:c>
      <x:c r="Z20" s="47" t="str">
        <x:f>IF(AND(Z$4&gt;=$C20,Z$4&lt;=$D20),"■","")</x:f>
      </x:c>
      <x:c r="AA20" s="47" t="str">
        <x:f>IF(AND(AA$4&gt;=$C20,AA$4&lt;=$D20),"■","")</x:f>
      </x:c>
      <x:c r="AB20" s="47" t="str">
        <x:f>IF(AND(AB$4&gt;=$C20,AB$4&lt;=$D20),"■","")</x:f>
      </x:c>
      <x:c r="AC20" s="47" t="str">
        <x:f>IF(AND(AC$4&gt;=$C20,AC$4&lt;=$D20),"■","")</x:f>
      </x:c>
      <x:c r="AD20" s="47" t="str">
        <x:f>IF(AND(AD$4&gt;=$C20,AD$4&lt;=$D20),"■","")</x:f>
      </x:c>
      <x:c r="AE20" s="47" t="str">
        <x:f>IF(AND(AE$4&gt;=$C20,AE$4&lt;=$D20),"■","")</x:f>
      </x:c>
      <x:c r="AF20" s="47" t="str">
        <x:f>IF(AND(AF$4&gt;=$C20,AF$4&lt;=$D20),"■","")</x:f>
      </x:c>
      <x:c r="AG20" s="47" t="str">
        <x:f>IF(AND(AG$4&gt;=$C20,AG$4&lt;=$D20),"■","")</x:f>
      </x:c>
      <x:c r="AH20" s="47" t="str">
        <x:f>IF(AND(AH$4&gt;=$C20,AH$4&lt;=$D20),"■","")</x:f>
      </x:c>
      <x:c r="AI20" s="47" t="str">
        <x:f>IF(AND(AI$4&gt;=$C20,AI$4&lt;=$D20),"■","")</x:f>
      </x:c>
    </x:row>
    <x:row r="21" ht="23" customHeight="1">
      <x:c r="A21" s="34" t="str">
        <x:f>'WBS'!A21</x:f>
        <x:v>3.4</x:v>
      </x:c>
      <x:c r="B21" s="1" t="str">
        <x:f>'WBS'!B21</x:f>
        <x:v>Configure Belgium RAW and catalogs</x:v>
      </x:c>
      <x:c r="C21" s="18" t="n">
        <x:f>'WBS'!D21</x:f>
        <x:v>46292</x:v>
      </x:c>
      <x:c r="D21" s="18" t="n">
        <x:f>'WBS'!E21</x:f>
        <x:v>46292</x:v>
      </x:c>
      <x:c r="E21" s="39" t="str">
        <x:f>'WBS'!F21</x:f>
        <x:v>Cloud reported</x:v>
      </x:c>
      <x:c r="F21" s="49" t="str">
        <x:f>IF(AND(F$4&gt;=$C21,F$4&lt;=$D21),"■","")</x:f>
      </x:c>
      <x:c r="G21" s="49" t="str">
        <x:f>IF(AND(G$4&gt;=$C21,G$4&lt;=$D21),"■","")</x:f>
      </x:c>
      <x:c r="H21" s="49" t="str">
        <x:f>IF(AND(H$4&gt;=$C21,H$4&lt;=$D21),"■","")</x:f>
      </x:c>
      <x:c r="I21" s="49" t="str">
        <x:f>IF(AND(I$4&gt;=$C21,I$4&lt;=$D21),"■","")</x:f>
      </x:c>
      <x:c r="J21" s="49" t="str">
        <x:f>IF(AND(J$4&gt;=$C21,J$4&lt;=$D21),"■","")</x:f>
      </x:c>
      <x:c r="K21" s="49" t="str">
        <x:f>IF(AND(K$4&gt;=$C21,K$4&lt;=$D21),"■","")</x:f>
      </x:c>
      <x:c r="L21" s="49" t="str">
        <x:f>IF(AND(L$4&gt;=$C21,L$4&lt;=$D21),"■","")</x:f>
      </x:c>
      <x:c r="M21" s="49" t="str">
        <x:f>IF(AND(M$4&gt;=$C21,M$4&lt;=$D21),"■","")</x:f>
      </x:c>
      <x:c r="N21" s="49" t="str">
        <x:f>IF(AND(N$4&gt;=$C21,N$4&lt;=$D21),"■","")</x:f>
      </x:c>
      <x:c r="O21" s="49" t="str">
        <x:f>IF(AND(O$4&gt;=$C21,O$4&lt;=$D21),"■","")</x:f>
      </x:c>
      <x:c r="P21" s="49" t="str">
        <x:f>IF(AND(P$4&gt;=$C21,P$4&lt;=$D21),"■","")</x:f>
      </x:c>
      <x:c r="Q21" s="49" t="str">
        <x:f>IF(AND(Q$4&gt;=$C21,Q$4&lt;=$D21),"■","")</x:f>
      </x:c>
      <x:c r="R21" s="49" t="str">
        <x:f>IF(AND(R$4&gt;=$C21,R$4&lt;=$D21),"■","")</x:f>
      </x:c>
      <x:c r="S21" s="49" t="str">
        <x:f>IF(AND(S$4&gt;=$C21,S$4&lt;=$D21),"■","")</x:f>
      </x:c>
      <x:c r="T21" s="49" t="str">
        <x:f>IF(AND(T$4&gt;=$C21,T$4&lt;=$D21),"■","")</x:f>
      </x:c>
      <x:c r="U21" s="49" t="str">
        <x:f>IF(AND(U$4&gt;=$C21,U$4&lt;=$D21),"■","")</x:f>
      </x:c>
      <x:c r="V21" s="49" t="str">
        <x:f>IF(AND(V$4&gt;=$C21,V$4&lt;=$D21),"■","")</x:f>
      </x:c>
      <x:c r="W21" s="49" t="str">
        <x:f>IF(AND(W$4&gt;=$C21,W$4&lt;=$D21),"■","")</x:f>
      </x:c>
      <x:c r="X21" s="49" t="str">
        <x:f>IF(AND(X$4&gt;=$C21,X$4&lt;=$D21),"■","")</x:f>
      </x:c>
      <x:c r="Y21" s="49" t="str">
        <x:f>IF(AND(Y$4&gt;=$C21,Y$4&lt;=$D21),"■","")</x:f>
      </x:c>
      <x:c r="Z21" s="49" t="str">
        <x:f>IF(AND(Z$4&gt;=$C21,Z$4&lt;=$D21),"■","")</x:f>
      </x:c>
      <x:c r="AA21" s="49" t="str">
        <x:f>IF(AND(AA$4&gt;=$C21,AA$4&lt;=$D21),"■","")</x:f>
      </x:c>
      <x:c r="AB21" s="49" t="str">
        <x:f>IF(AND(AB$4&gt;=$C21,AB$4&lt;=$D21),"■","")</x:f>
      </x:c>
      <x:c r="AC21" s="49" t="str">
        <x:f>IF(AND(AC$4&gt;=$C21,AC$4&lt;=$D21),"■","")</x:f>
      </x:c>
      <x:c r="AD21" s="49" t="str">
        <x:f>IF(AND(AD$4&gt;=$C21,AD$4&lt;=$D21),"■","")</x:f>
      </x:c>
      <x:c r="AE21" s="49" t="str">
        <x:f>IF(AND(AE$4&gt;=$C21,AE$4&lt;=$D21),"■","")</x:f>
      </x:c>
      <x:c r="AF21" s="49" t="str">
        <x:f>IF(AND(AF$4&gt;=$C21,AF$4&lt;=$D21),"■","")</x:f>
        <x:v>■</x:v>
      </x:c>
      <x:c r="AG21" s="49" t="str">
        <x:f>IF(AND(AG$4&gt;=$C21,AG$4&lt;=$D21),"■","")</x:f>
      </x:c>
      <x:c r="AH21" s="49" t="str">
        <x:f>IF(AND(AH$4&gt;=$C21,AH$4&lt;=$D21),"■","")</x:f>
      </x:c>
      <x:c r="AI21" s="49" t="str">
        <x:f>IF(AND(AI$4&gt;=$C21,AI$4&lt;=$D21),"■","")</x:f>
      </x:c>
    </x:row>
    <x:row r="22" ht="23" customHeight="1">
      <x:c r="A22" s="36" t="str">
        <x:f>'WBS'!A22</x:f>
        <x:v>3.5</x:v>
      </x:c>
      <x:c r="B22" s="28" t="str">
        <x:f>'WBS'!B22</x:f>
        <x:v>Configure Belgium storage and compute</x:v>
      </x:c>
      <x:c r="C22" s="37" t="n">
        <x:f>'WBS'!D22</x:f>
        <x:v>46292</x:v>
      </x:c>
      <x:c r="D22" s="37" t="n">
        <x:f>'WBS'!E22</x:f>
        <x:v>46292</x:v>
      </x:c>
      <x:c r="E22" s="39" t="str">
        <x:f>'WBS'!F22</x:f>
        <x:v>Cloud reported</x:v>
      </x:c>
      <x:c r="F22" s="49" t="str">
        <x:f>IF(AND(F$4&gt;=$C22,F$4&lt;=$D22),"■","")</x:f>
      </x:c>
      <x:c r="G22" s="49" t="str">
        <x:f>IF(AND(G$4&gt;=$C22,G$4&lt;=$D22),"■","")</x:f>
      </x:c>
      <x:c r="H22" s="49" t="str">
        <x:f>IF(AND(H$4&gt;=$C22,H$4&lt;=$D22),"■","")</x:f>
      </x:c>
      <x:c r="I22" s="49" t="str">
        <x:f>IF(AND(I$4&gt;=$C22,I$4&lt;=$D22),"■","")</x:f>
      </x:c>
      <x:c r="J22" s="49" t="str">
        <x:f>IF(AND(J$4&gt;=$C22,J$4&lt;=$D22),"■","")</x:f>
      </x:c>
      <x:c r="K22" s="49" t="str">
        <x:f>IF(AND(K$4&gt;=$C22,K$4&lt;=$D22),"■","")</x:f>
      </x:c>
      <x:c r="L22" s="49" t="str">
        <x:f>IF(AND(L$4&gt;=$C22,L$4&lt;=$D22),"■","")</x:f>
      </x:c>
      <x:c r="M22" s="49" t="str">
        <x:f>IF(AND(M$4&gt;=$C22,M$4&lt;=$D22),"■","")</x:f>
      </x:c>
      <x:c r="N22" s="49" t="str">
        <x:f>IF(AND(N$4&gt;=$C22,N$4&lt;=$D22),"■","")</x:f>
      </x:c>
      <x:c r="O22" s="49" t="str">
        <x:f>IF(AND(O$4&gt;=$C22,O$4&lt;=$D22),"■","")</x:f>
      </x:c>
      <x:c r="P22" s="49" t="str">
        <x:f>IF(AND(P$4&gt;=$C22,P$4&lt;=$D22),"■","")</x:f>
      </x:c>
      <x:c r="Q22" s="49" t="str">
        <x:f>IF(AND(Q$4&gt;=$C22,Q$4&lt;=$D22),"■","")</x:f>
      </x:c>
      <x:c r="R22" s="49" t="str">
        <x:f>IF(AND(R$4&gt;=$C22,R$4&lt;=$D22),"■","")</x:f>
      </x:c>
      <x:c r="S22" s="49" t="str">
        <x:f>IF(AND(S$4&gt;=$C22,S$4&lt;=$D22),"■","")</x:f>
      </x:c>
      <x:c r="T22" s="49" t="str">
        <x:f>IF(AND(T$4&gt;=$C22,T$4&lt;=$D22),"■","")</x:f>
      </x:c>
      <x:c r="U22" s="49" t="str">
        <x:f>IF(AND(U$4&gt;=$C22,U$4&lt;=$D22),"■","")</x:f>
      </x:c>
      <x:c r="V22" s="49" t="str">
        <x:f>IF(AND(V$4&gt;=$C22,V$4&lt;=$D22),"■","")</x:f>
      </x:c>
      <x:c r="W22" s="49" t="str">
        <x:f>IF(AND(W$4&gt;=$C22,W$4&lt;=$D22),"■","")</x:f>
      </x:c>
      <x:c r="X22" s="49" t="str">
        <x:f>IF(AND(X$4&gt;=$C22,X$4&lt;=$D22),"■","")</x:f>
      </x:c>
      <x:c r="Y22" s="49" t="str">
        <x:f>IF(AND(Y$4&gt;=$C22,Y$4&lt;=$D22),"■","")</x:f>
      </x:c>
      <x:c r="Z22" s="49" t="str">
        <x:f>IF(AND(Z$4&gt;=$C22,Z$4&lt;=$D22),"■","")</x:f>
      </x:c>
      <x:c r="AA22" s="49" t="str">
        <x:f>IF(AND(AA$4&gt;=$C22,AA$4&lt;=$D22),"■","")</x:f>
      </x:c>
      <x:c r="AB22" s="49" t="str">
        <x:f>IF(AND(AB$4&gt;=$C22,AB$4&lt;=$D22),"■","")</x:f>
      </x:c>
      <x:c r="AC22" s="49" t="str">
        <x:f>IF(AND(AC$4&gt;=$C22,AC$4&lt;=$D22),"■","")</x:f>
      </x:c>
      <x:c r="AD22" s="49" t="str">
        <x:f>IF(AND(AD$4&gt;=$C22,AD$4&lt;=$D22),"■","")</x:f>
      </x:c>
      <x:c r="AE22" s="49" t="str">
        <x:f>IF(AND(AE$4&gt;=$C22,AE$4&lt;=$D22),"■","")</x:f>
      </x:c>
      <x:c r="AF22" s="49" t="str">
        <x:f>IF(AND(AF$4&gt;=$C22,AF$4&lt;=$D22),"■","")</x:f>
        <x:v>■</x:v>
      </x:c>
      <x:c r="AG22" s="49" t="str">
        <x:f>IF(AND(AG$4&gt;=$C22,AG$4&lt;=$D22),"■","")</x:f>
      </x:c>
      <x:c r="AH22" s="49" t="str">
        <x:f>IF(AND(AH$4&gt;=$C22,AH$4&lt;=$D22),"■","")</x:f>
      </x:c>
      <x:c r="AI22" s="49" t="str">
        <x:f>IF(AND(AI$4&gt;=$C22,AI$4&lt;=$D22),"■","")</x:f>
      </x:c>
    </x:row>
    <x:row r="23" ht="23" customHeight="1">
      <x:c r="A23" s="34" t="str">
        <x:f>'WBS'!A23</x:f>
        <x:v>3.6</x:v>
      </x:c>
      <x:c r="B23" s="1" t="str">
        <x:f>'WBS'!B23</x:f>
        <x:v>Backfill monthly data in DEV</x:v>
      </x:c>
      <x:c r="C23" s="18" t="n">
        <x:f>'WBS'!D23</x:f>
        <x:v>46292</x:v>
      </x:c>
      <x:c r="D23" s="18" t="n">
        <x:f>'WBS'!E23</x:f>
        <x:v>46292</x:v>
      </x:c>
      <x:c r="E23" s="39" t="str">
        <x:f>'WBS'!F23</x:f>
        <x:v>Cloud reported</x:v>
      </x:c>
      <x:c r="F23" s="49" t="str">
        <x:f>IF(AND(F$4&gt;=$C23,F$4&lt;=$D23),"■","")</x:f>
      </x:c>
      <x:c r="G23" s="49" t="str">
        <x:f>IF(AND(G$4&gt;=$C23,G$4&lt;=$D23),"■","")</x:f>
      </x:c>
      <x:c r="H23" s="49" t="str">
        <x:f>IF(AND(H$4&gt;=$C23,H$4&lt;=$D23),"■","")</x:f>
      </x:c>
      <x:c r="I23" s="49" t="str">
        <x:f>IF(AND(I$4&gt;=$C23,I$4&lt;=$D23),"■","")</x:f>
      </x:c>
      <x:c r="J23" s="49" t="str">
        <x:f>IF(AND(J$4&gt;=$C23,J$4&lt;=$D23),"■","")</x:f>
      </x:c>
      <x:c r="K23" s="49" t="str">
        <x:f>IF(AND(K$4&gt;=$C23,K$4&lt;=$D23),"■","")</x:f>
      </x:c>
      <x:c r="L23" s="49" t="str">
        <x:f>IF(AND(L$4&gt;=$C23,L$4&lt;=$D23),"■","")</x:f>
      </x:c>
      <x:c r="M23" s="49" t="str">
        <x:f>IF(AND(M$4&gt;=$C23,M$4&lt;=$D23),"■","")</x:f>
      </x:c>
      <x:c r="N23" s="49" t="str">
        <x:f>IF(AND(N$4&gt;=$C23,N$4&lt;=$D23),"■","")</x:f>
      </x:c>
      <x:c r="O23" s="49" t="str">
        <x:f>IF(AND(O$4&gt;=$C23,O$4&lt;=$D23),"■","")</x:f>
      </x:c>
      <x:c r="P23" s="49" t="str">
        <x:f>IF(AND(P$4&gt;=$C23,P$4&lt;=$D23),"■","")</x:f>
      </x:c>
      <x:c r="Q23" s="49" t="str">
        <x:f>IF(AND(Q$4&gt;=$C23,Q$4&lt;=$D23),"■","")</x:f>
      </x:c>
      <x:c r="R23" s="49" t="str">
        <x:f>IF(AND(R$4&gt;=$C23,R$4&lt;=$D23),"■","")</x:f>
      </x:c>
      <x:c r="S23" s="49" t="str">
        <x:f>IF(AND(S$4&gt;=$C23,S$4&lt;=$D23),"■","")</x:f>
      </x:c>
      <x:c r="T23" s="49" t="str">
        <x:f>IF(AND(T$4&gt;=$C23,T$4&lt;=$D23),"■","")</x:f>
      </x:c>
      <x:c r="U23" s="49" t="str">
        <x:f>IF(AND(U$4&gt;=$C23,U$4&lt;=$D23),"■","")</x:f>
      </x:c>
      <x:c r="V23" s="49" t="str">
        <x:f>IF(AND(V$4&gt;=$C23,V$4&lt;=$D23),"■","")</x:f>
      </x:c>
      <x:c r="W23" s="49" t="str">
        <x:f>IF(AND(W$4&gt;=$C23,W$4&lt;=$D23),"■","")</x:f>
      </x:c>
      <x:c r="X23" s="49" t="str">
        <x:f>IF(AND(X$4&gt;=$C23,X$4&lt;=$D23),"■","")</x:f>
      </x:c>
      <x:c r="Y23" s="49" t="str">
        <x:f>IF(AND(Y$4&gt;=$C23,Y$4&lt;=$D23),"■","")</x:f>
      </x:c>
      <x:c r="Z23" s="49" t="str">
        <x:f>IF(AND(Z$4&gt;=$C23,Z$4&lt;=$D23),"■","")</x:f>
      </x:c>
      <x:c r="AA23" s="49" t="str">
        <x:f>IF(AND(AA$4&gt;=$C23,AA$4&lt;=$D23),"■","")</x:f>
      </x:c>
      <x:c r="AB23" s="49" t="str">
        <x:f>IF(AND(AB$4&gt;=$C23,AB$4&lt;=$D23),"■","")</x:f>
      </x:c>
      <x:c r="AC23" s="49" t="str">
        <x:f>IF(AND(AC$4&gt;=$C23,AC$4&lt;=$D23),"■","")</x:f>
      </x:c>
      <x:c r="AD23" s="49" t="str">
        <x:f>IF(AND(AD$4&gt;=$C23,AD$4&lt;=$D23),"■","")</x:f>
      </x:c>
      <x:c r="AE23" s="49" t="str">
        <x:f>IF(AND(AE$4&gt;=$C23,AE$4&lt;=$D23),"■","")</x:f>
      </x:c>
      <x:c r="AF23" s="49" t="str">
        <x:f>IF(AND(AF$4&gt;=$C23,AF$4&lt;=$D23),"■","")</x:f>
        <x:v>■</x:v>
      </x:c>
      <x:c r="AG23" s="49" t="str">
        <x:f>IF(AND(AG$4&gt;=$C23,AG$4&lt;=$D23),"■","")</x:f>
      </x:c>
      <x:c r="AH23" s="49" t="str">
        <x:f>IF(AND(AH$4&gt;=$C23,AH$4&lt;=$D23),"■","")</x:f>
      </x:c>
      <x:c r="AI23" s="49" t="str">
        <x:f>IF(AND(AI$4&gt;=$C23,AI$4&lt;=$D23),"■","")</x:f>
      </x:c>
    </x:row>
    <x:row r="24" ht="23" customHeight="1">
      <x:c r="A24" s="36" t="str">
        <x:f>'WBS'!A24</x:f>
        <x:v>3.7</x:v>
      </x:c>
      <x:c r="B24" s="28" t="str">
        <x:f>'WBS'!B24</x:f>
        <x:v>Backfill monthly data in PROD</x:v>
      </x:c>
      <x:c r="C24" s="37" t="n">
        <x:f>'WBS'!D24</x:f>
        <x:v>46292</x:v>
      </x:c>
      <x:c r="D24" s="37" t="n">
        <x:f>'WBS'!E24</x:f>
        <x:v>46292</x:v>
      </x:c>
      <x:c r="E24" s="39" t="str">
        <x:f>'WBS'!F24</x:f>
        <x:v>Cloud reported</x:v>
      </x:c>
      <x:c r="F24" s="49" t="str">
        <x:f>IF(AND(F$4&gt;=$C24,F$4&lt;=$D24),"■","")</x:f>
      </x:c>
      <x:c r="G24" s="49" t="str">
        <x:f>IF(AND(G$4&gt;=$C24,G$4&lt;=$D24),"■","")</x:f>
      </x:c>
      <x:c r="H24" s="49" t="str">
        <x:f>IF(AND(H$4&gt;=$C24,H$4&lt;=$D24),"■","")</x:f>
      </x:c>
      <x:c r="I24" s="49" t="str">
        <x:f>IF(AND(I$4&gt;=$C24,I$4&lt;=$D24),"■","")</x:f>
      </x:c>
      <x:c r="J24" s="49" t="str">
        <x:f>IF(AND(J$4&gt;=$C24,J$4&lt;=$D24),"■","")</x:f>
      </x:c>
      <x:c r="K24" s="49" t="str">
        <x:f>IF(AND(K$4&gt;=$C24,K$4&lt;=$D24),"■","")</x:f>
      </x:c>
      <x:c r="L24" s="49" t="str">
        <x:f>IF(AND(L$4&gt;=$C24,L$4&lt;=$D24),"■","")</x:f>
      </x:c>
      <x:c r="M24" s="49" t="str">
        <x:f>IF(AND(M$4&gt;=$C24,M$4&lt;=$D24),"■","")</x:f>
      </x:c>
      <x:c r="N24" s="49" t="str">
        <x:f>IF(AND(N$4&gt;=$C24,N$4&lt;=$D24),"■","")</x:f>
      </x:c>
      <x:c r="O24" s="49" t="str">
        <x:f>IF(AND(O$4&gt;=$C24,O$4&lt;=$D24),"■","")</x:f>
      </x:c>
      <x:c r="P24" s="49" t="str">
        <x:f>IF(AND(P$4&gt;=$C24,P$4&lt;=$D24),"■","")</x:f>
      </x:c>
      <x:c r="Q24" s="49" t="str">
        <x:f>IF(AND(Q$4&gt;=$C24,Q$4&lt;=$D24),"■","")</x:f>
      </x:c>
      <x:c r="R24" s="49" t="str">
        <x:f>IF(AND(R$4&gt;=$C24,R$4&lt;=$D24),"■","")</x:f>
      </x:c>
      <x:c r="S24" s="49" t="str">
        <x:f>IF(AND(S$4&gt;=$C24,S$4&lt;=$D24),"■","")</x:f>
      </x:c>
      <x:c r="T24" s="49" t="str">
        <x:f>IF(AND(T$4&gt;=$C24,T$4&lt;=$D24),"■","")</x:f>
      </x:c>
      <x:c r="U24" s="49" t="str">
        <x:f>IF(AND(U$4&gt;=$C24,U$4&lt;=$D24),"■","")</x:f>
      </x:c>
      <x:c r="V24" s="49" t="str">
        <x:f>IF(AND(V$4&gt;=$C24,V$4&lt;=$D24),"■","")</x:f>
      </x:c>
      <x:c r="W24" s="49" t="str">
        <x:f>IF(AND(W$4&gt;=$C24,W$4&lt;=$D24),"■","")</x:f>
      </x:c>
      <x:c r="X24" s="49" t="str">
        <x:f>IF(AND(X$4&gt;=$C24,X$4&lt;=$D24),"■","")</x:f>
      </x:c>
      <x:c r="Y24" s="49" t="str">
        <x:f>IF(AND(Y$4&gt;=$C24,Y$4&lt;=$D24),"■","")</x:f>
      </x:c>
      <x:c r="Z24" s="49" t="str">
        <x:f>IF(AND(Z$4&gt;=$C24,Z$4&lt;=$D24),"■","")</x:f>
      </x:c>
      <x:c r="AA24" s="49" t="str">
        <x:f>IF(AND(AA$4&gt;=$C24,AA$4&lt;=$D24),"■","")</x:f>
      </x:c>
      <x:c r="AB24" s="49" t="str">
        <x:f>IF(AND(AB$4&gt;=$C24,AB$4&lt;=$D24),"■","")</x:f>
      </x:c>
      <x:c r="AC24" s="49" t="str">
        <x:f>IF(AND(AC$4&gt;=$C24,AC$4&lt;=$D24),"■","")</x:f>
      </x:c>
      <x:c r="AD24" s="49" t="str">
        <x:f>IF(AND(AD$4&gt;=$C24,AD$4&lt;=$D24),"■","")</x:f>
      </x:c>
      <x:c r="AE24" s="49" t="str">
        <x:f>IF(AND(AE$4&gt;=$C24,AE$4&lt;=$D24),"■","")</x:f>
      </x:c>
      <x:c r="AF24" s="49" t="str">
        <x:f>IF(AND(AF$4&gt;=$C24,AF$4&lt;=$D24),"■","")</x:f>
        <x:v>■</x:v>
      </x:c>
      <x:c r="AG24" s="49" t="str">
        <x:f>IF(AND(AG$4&gt;=$C24,AG$4&lt;=$D24),"■","")</x:f>
      </x:c>
      <x:c r="AH24" s="49" t="str">
        <x:f>IF(AND(AH$4&gt;=$C24,AH$4&lt;=$D24),"■","")</x:f>
      </x:c>
      <x:c r="AI24" s="49" t="str">
        <x:f>IF(AND(AI$4&gt;=$C24,AI$4&lt;=$D24),"■","")</x:f>
      </x:c>
    </x:row>
    <x:row r="25" ht="23" customHeight="1">
      <x:c r="A25" s="34" t="str">
        <x:f>'WBS'!A25</x:f>
        <x:v>3.8</x:v>
      </x:c>
      <x:c r="B25" s="1" t="str">
        <x:f>'WBS'!B25</x:f>
        <x:v>Load first Daily file in DEV</x:v>
      </x:c>
      <x:c r="C25" s="18" t="n">
        <x:f>'WBS'!D25</x:f>
        <x:v>46292</x:v>
      </x:c>
      <x:c r="D25" s="18" t="n">
        <x:f>'WBS'!E25</x:f>
        <x:v>46292</x:v>
      </x:c>
      <x:c r="E25" s="39" t="str">
        <x:f>'WBS'!F25</x:f>
        <x:v>Cloud reported</x:v>
      </x:c>
      <x:c r="F25" s="49" t="str">
        <x:f>IF(AND(F$4&gt;=$C25,F$4&lt;=$D25),"■","")</x:f>
      </x:c>
      <x:c r="G25" s="49" t="str">
        <x:f>IF(AND(G$4&gt;=$C25,G$4&lt;=$D25),"■","")</x:f>
      </x:c>
      <x:c r="H25" s="49" t="str">
        <x:f>IF(AND(H$4&gt;=$C25,H$4&lt;=$D25),"■","")</x:f>
      </x:c>
      <x:c r="I25" s="49" t="str">
        <x:f>IF(AND(I$4&gt;=$C25,I$4&lt;=$D25),"■","")</x:f>
      </x:c>
      <x:c r="J25" s="49" t="str">
        <x:f>IF(AND(J$4&gt;=$C25,J$4&lt;=$D25),"■","")</x:f>
      </x:c>
      <x:c r="K25" s="49" t="str">
        <x:f>IF(AND(K$4&gt;=$C25,K$4&lt;=$D25),"■","")</x:f>
      </x:c>
      <x:c r="L25" s="49" t="str">
        <x:f>IF(AND(L$4&gt;=$C25,L$4&lt;=$D25),"■","")</x:f>
      </x:c>
      <x:c r="M25" s="49" t="str">
        <x:f>IF(AND(M$4&gt;=$C25,M$4&lt;=$D25),"■","")</x:f>
      </x:c>
      <x:c r="N25" s="49" t="str">
        <x:f>IF(AND(N$4&gt;=$C25,N$4&lt;=$D25),"■","")</x:f>
      </x:c>
      <x:c r="O25" s="49" t="str">
        <x:f>IF(AND(O$4&gt;=$C25,O$4&lt;=$D25),"■","")</x:f>
      </x:c>
      <x:c r="P25" s="49" t="str">
        <x:f>IF(AND(P$4&gt;=$C25,P$4&lt;=$D25),"■","")</x:f>
      </x:c>
      <x:c r="Q25" s="49" t="str">
        <x:f>IF(AND(Q$4&gt;=$C25,Q$4&lt;=$D25),"■","")</x:f>
      </x:c>
      <x:c r="R25" s="49" t="str">
        <x:f>IF(AND(R$4&gt;=$C25,R$4&lt;=$D25),"■","")</x:f>
      </x:c>
      <x:c r="S25" s="49" t="str">
        <x:f>IF(AND(S$4&gt;=$C25,S$4&lt;=$D25),"■","")</x:f>
      </x:c>
      <x:c r="T25" s="49" t="str">
        <x:f>IF(AND(T$4&gt;=$C25,T$4&lt;=$D25),"■","")</x:f>
      </x:c>
      <x:c r="U25" s="49" t="str">
        <x:f>IF(AND(U$4&gt;=$C25,U$4&lt;=$D25),"■","")</x:f>
      </x:c>
      <x:c r="V25" s="49" t="str">
        <x:f>IF(AND(V$4&gt;=$C25,V$4&lt;=$D25),"■","")</x:f>
      </x:c>
      <x:c r="W25" s="49" t="str">
        <x:f>IF(AND(W$4&gt;=$C25,W$4&lt;=$D25),"■","")</x:f>
      </x:c>
      <x:c r="X25" s="49" t="str">
        <x:f>IF(AND(X$4&gt;=$C25,X$4&lt;=$D25),"■","")</x:f>
      </x:c>
      <x:c r="Y25" s="49" t="str">
        <x:f>IF(AND(Y$4&gt;=$C25,Y$4&lt;=$D25),"■","")</x:f>
      </x:c>
      <x:c r="Z25" s="49" t="str">
        <x:f>IF(AND(Z$4&gt;=$C25,Z$4&lt;=$D25),"■","")</x:f>
      </x:c>
      <x:c r="AA25" s="49" t="str">
        <x:f>IF(AND(AA$4&gt;=$C25,AA$4&lt;=$D25),"■","")</x:f>
      </x:c>
      <x:c r="AB25" s="49" t="str">
        <x:f>IF(AND(AB$4&gt;=$C25,AB$4&lt;=$D25),"■","")</x:f>
      </x:c>
      <x:c r="AC25" s="49" t="str">
        <x:f>IF(AND(AC$4&gt;=$C25,AC$4&lt;=$D25),"■","")</x:f>
      </x:c>
      <x:c r="AD25" s="49" t="str">
        <x:f>IF(AND(AD$4&gt;=$C25,AD$4&lt;=$D25),"■","")</x:f>
      </x:c>
      <x:c r="AE25" s="49" t="str">
        <x:f>IF(AND(AE$4&gt;=$C25,AE$4&lt;=$D25),"■","")</x:f>
      </x:c>
      <x:c r="AF25" s="49" t="str">
        <x:f>IF(AND(AF$4&gt;=$C25,AF$4&lt;=$D25),"■","")</x:f>
        <x:v>■</x:v>
      </x:c>
      <x:c r="AG25" s="49" t="str">
        <x:f>IF(AND(AG$4&gt;=$C25,AG$4&lt;=$D25),"■","")</x:f>
      </x:c>
      <x:c r="AH25" s="49" t="str">
        <x:f>IF(AND(AH$4&gt;=$C25,AH$4&lt;=$D25),"■","")</x:f>
      </x:c>
      <x:c r="AI25" s="49" t="str">
        <x:f>IF(AND(AI$4&gt;=$C25,AI$4&lt;=$D25),"■","")</x:f>
      </x:c>
    </x:row>
    <x:row r="26" ht="23" customHeight="1">
      <x:c r="A26" s="36" t="str">
        <x:f>'WBS'!A26</x:f>
        <x:v>3.9</x:v>
      </x:c>
      <x:c r="B26" s="28" t="str">
        <x:f>'WBS'!B26</x:f>
        <x:v>Validate Daily DEV-to-PROD promotion</x:v>
      </x:c>
      <x:c r="C26" s="37" t="n">
        <x:f>'WBS'!D26</x:f>
        <x:v>46293</x:v>
      </x:c>
      <x:c r="D26" s="37" t="n">
        <x:f>'WBS'!E26</x:f>
        <x:v>46294</x:v>
      </x:c>
      <x:c r="E26" s="40" t="str">
        <x:f>'WBS'!F26</x:f>
        <x:v>Planned</x:v>
      </x:c>
      <x:c r="F26" s="50" t="str">
        <x:f>IF(AND(F$4&gt;=$C26,F$4&lt;=$D26),"■","")</x:f>
      </x:c>
      <x:c r="G26" s="50" t="str">
        <x:f>IF(AND(G$4&gt;=$C26,G$4&lt;=$D26),"■","")</x:f>
      </x:c>
      <x:c r="H26" s="50" t="str">
        <x:f>IF(AND(H$4&gt;=$C26,H$4&lt;=$D26),"■","")</x:f>
      </x:c>
      <x:c r="I26" s="50" t="str">
        <x:f>IF(AND(I$4&gt;=$C26,I$4&lt;=$D26),"■","")</x:f>
      </x:c>
      <x:c r="J26" s="50" t="str">
        <x:f>IF(AND(J$4&gt;=$C26,J$4&lt;=$D26),"■","")</x:f>
      </x:c>
      <x:c r="K26" s="50" t="str">
        <x:f>IF(AND(K$4&gt;=$C26,K$4&lt;=$D26),"■","")</x:f>
      </x:c>
      <x:c r="L26" s="50" t="str">
        <x:f>IF(AND(L$4&gt;=$C26,L$4&lt;=$D26),"■","")</x:f>
      </x:c>
      <x:c r="M26" s="50" t="str">
        <x:f>IF(AND(M$4&gt;=$C26,M$4&lt;=$D26),"■","")</x:f>
      </x:c>
      <x:c r="N26" s="50" t="str">
        <x:f>IF(AND(N$4&gt;=$C26,N$4&lt;=$D26),"■","")</x:f>
      </x:c>
      <x:c r="O26" s="50" t="str">
        <x:f>IF(AND(O$4&gt;=$C26,O$4&lt;=$D26),"■","")</x:f>
      </x:c>
      <x:c r="P26" s="50" t="str">
        <x:f>IF(AND(P$4&gt;=$C26,P$4&lt;=$D26),"■","")</x:f>
      </x:c>
      <x:c r="Q26" s="50" t="str">
        <x:f>IF(AND(Q$4&gt;=$C26,Q$4&lt;=$D26),"■","")</x:f>
      </x:c>
      <x:c r="R26" s="50" t="str">
        <x:f>IF(AND(R$4&gt;=$C26,R$4&lt;=$D26),"■","")</x:f>
      </x:c>
      <x:c r="S26" s="50" t="str">
        <x:f>IF(AND(S$4&gt;=$C26,S$4&lt;=$D26),"■","")</x:f>
      </x:c>
      <x:c r="T26" s="50" t="str">
        <x:f>IF(AND(T$4&gt;=$C26,T$4&lt;=$D26),"■","")</x:f>
      </x:c>
      <x:c r="U26" s="50" t="str">
        <x:f>IF(AND(U$4&gt;=$C26,U$4&lt;=$D26),"■","")</x:f>
      </x:c>
      <x:c r="V26" s="50" t="str">
        <x:f>IF(AND(V$4&gt;=$C26,V$4&lt;=$D26),"■","")</x:f>
      </x:c>
      <x:c r="W26" s="50" t="str">
        <x:f>IF(AND(W$4&gt;=$C26,W$4&lt;=$D26),"■","")</x:f>
      </x:c>
      <x:c r="X26" s="50" t="str">
        <x:f>IF(AND(X$4&gt;=$C26,X$4&lt;=$D26),"■","")</x:f>
      </x:c>
      <x:c r="Y26" s="50" t="str">
        <x:f>IF(AND(Y$4&gt;=$C26,Y$4&lt;=$D26),"■","")</x:f>
      </x:c>
      <x:c r="Z26" s="50" t="str">
        <x:f>IF(AND(Z$4&gt;=$C26,Z$4&lt;=$D26),"■","")</x:f>
      </x:c>
      <x:c r="AA26" s="50" t="str">
        <x:f>IF(AND(AA$4&gt;=$C26,AA$4&lt;=$D26),"■","")</x:f>
      </x:c>
      <x:c r="AB26" s="50" t="str">
        <x:f>IF(AND(AB$4&gt;=$C26,AB$4&lt;=$D26),"■","")</x:f>
      </x:c>
      <x:c r="AC26" s="50" t="str">
        <x:f>IF(AND(AC$4&gt;=$C26,AC$4&lt;=$D26),"■","")</x:f>
      </x:c>
      <x:c r="AD26" s="50" t="str">
        <x:f>IF(AND(AD$4&gt;=$C26,AD$4&lt;=$D26),"■","")</x:f>
      </x:c>
      <x:c r="AE26" s="50" t="str">
        <x:f>IF(AND(AE$4&gt;=$C26,AE$4&lt;=$D26),"■","")</x:f>
      </x:c>
      <x:c r="AF26" s="50" t="str">
        <x:f>IF(AND(AF$4&gt;=$C26,AF$4&lt;=$D26),"■","")</x:f>
      </x:c>
      <x:c r="AG26" s="50" t="str">
        <x:f>IF(AND(AG$4&gt;=$C26,AG$4&lt;=$D26),"■","")</x:f>
        <x:v>■</x:v>
      </x:c>
      <x:c r="AH26" s="50" t="str">
        <x:f>IF(AND(AH$4&gt;=$C26,AH$4&lt;=$D26),"■","")</x:f>
        <x:v>■</x:v>
      </x:c>
      <x:c r="AI26" s="50" t="str">
        <x:f>IF(AND(AI$4&gt;=$C26,AI$4&lt;=$D26),"■","")</x:f>
      </x:c>
    </x:row>
    <x:row r="27" ht="23" customHeight="1">
      <x:c r="A27" s="34" t="str">
        <x:f>'WBS'!A27</x:f>
        <x:v>3.10</x:v>
      </x:c>
      <x:c r="B27" s="1" t="str">
        <x:f>'WBS'!B27</x:f>
        <x:v>Test Classic monthly close</x:v>
      </x:c>
      <x:c r="C27" s="18" t="n">
        <x:f>'WBS'!D27</x:f>
        <x:v>46293</x:v>
      </x:c>
      <x:c r="D27" s="18" t="n">
        <x:f>'WBS'!E27</x:f>
        <x:v>46294</x:v>
      </x:c>
      <x:c r="E27" s="40" t="str">
        <x:f>'WBS'!F27</x:f>
        <x:v>Planned</x:v>
      </x:c>
      <x:c r="F27" s="50" t="str">
        <x:f>IF(AND(F$4&gt;=$C27,F$4&lt;=$D27),"■","")</x:f>
      </x:c>
      <x:c r="G27" s="50" t="str">
        <x:f>IF(AND(G$4&gt;=$C27,G$4&lt;=$D27),"■","")</x:f>
      </x:c>
      <x:c r="H27" s="50" t="str">
        <x:f>IF(AND(H$4&gt;=$C27,H$4&lt;=$D27),"■","")</x:f>
      </x:c>
      <x:c r="I27" s="50" t="str">
        <x:f>IF(AND(I$4&gt;=$C27,I$4&lt;=$D27),"■","")</x:f>
      </x:c>
      <x:c r="J27" s="50" t="str">
        <x:f>IF(AND(J$4&gt;=$C27,J$4&lt;=$D27),"■","")</x:f>
      </x:c>
      <x:c r="K27" s="50" t="str">
        <x:f>IF(AND(K$4&gt;=$C27,K$4&lt;=$D27),"■","")</x:f>
      </x:c>
      <x:c r="L27" s="50" t="str">
        <x:f>IF(AND(L$4&gt;=$C27,L$4&lt;=$D27),"■","")</x:f>
      </x:c>
      <x:c r="M27" s="50" t="str">
        <x:f>IF(AND(M$4&gt;=$C27,M$4&lt;=$D27),"■","")</x:f>
      </x:c>
      <x:c r="N27" s="50" t="str">
        <x:f>IF(AND(N$4&gt;=$C27,N$4&lt;=$D27),"■","")</x:f>
      </x:c>
      <x:c r="O27" s="50" t="str">
        <x:f>IF(AND(O$4&gt;=$C27,O$4&lt;=$D27),"■","")</x:f>
      </x:c>
      <x:c r="P27" s="50" t="str">
        <x:f>IF(AND(P$4&gt;=$C27,P$4&lt;=$D27),"■","")</x:f>
      </x:c>
      <x:c r="Q27" s="50" t="str">
        <x:f>IF(AND(Q$4&gt;=$C27,Q$4&lt;=$D27),"■","")</x:f>
      </x:c>
      <x:c r="R27" s="50" t="str">
        <x:f>IF(AND(R$4&gt;=$C27,R$4&lt;=$D27),"■","")</x:f>
      </x:c>
      <x:c r="S27" s="50" t="str">
        <x:f>IF(AND(S$4&gt;=$C27,S$4&lt;=$D27),"■","")</x:f>
      </x:c>
      <x:c r="T27" s="50" t="str">
        <x:f>IF(AND(T$4&gt;=$C27,T$4&lt;=$D27),"■","")</x:f>
      </x:c>
      <x:c r="U27" s="50" t="str">
        <x:f>IF(AND(U$4&gt;=$C27,U$4&lt;=$D27),"■","")</x:f>
      </x:c>
      <x:c r="V27" s="50" t="str">
        <x:f>IF(AND(V$4&gt;=$C27,V$4&lt;=$D27),"■","")</x:f>
      </x:c>
      <x:c r="W27" s="50" t="str">
        <x:f>IF(AND(W$4&gt;=$C27,W$4&lt;=$D27),"■","")</x:f>
      </x:c>
      <x:c r="X27" s="50" t="str">
        <x:f>IF(AND(X$4&gt;=$C27,X$4&lt;=$D27),"■","")</x:f>
      </x:c>
      <x:c r="Y27" s="50" t="str">
        <x:f>IF(AND(Y$4&gt;=$C27,Y$4&lt;=$D27),"■","")</x:f>
      </x:c>
      <x:c r="Z27" s="50" t="str">
        <x:f>IF(AND(Z$4&gt;=$C27,Z$4&lt;=$D27),"■","")</x:f>
      </x:c>
      <x:c r="AA27" s="50" t="str">
        <x:f>IF(AND(AA$4&gt;=$C27,AA$4&lt;=$D27),"■","")</x:f>
      </x:c>
      <x:c r="AB27" s="50" t="str">
        <x:f>IF(AND(AB$4&gt;=$C27,AB$4&lt;=$D27),"■","")</x:f>
      </x:c>
      <x:c r="AC27" s="50" t="str">
        <x:f>IF(AND(AC$4&gt;=$C27,AC$4&lt;=$D27),"■","")</x:f>
      </x:c>
      <x:c r="AD27" s="50" t="str">
        <x:f>IF(AND(AD$4&gt;=$C27,AD$4&lt;=$D27),"■","")</x:f>
      </x:c>
      <x:c r="AE27" s="50" t="str">
        <x:f>IF(AND(AE$4&gt;=$C27,AE$4&lt;=$D27),"■","")</x:f>
      </x:c>
      <x:c r="AF27" s="50" t="str">
        <x:f>IF(AND(AF$4&gt;=$C27,AF$4&lt;=$D27),"■","")</x:f>
      </x:c>
      <x:c r="AG27" s="50" t="str">
        <x:f>IF(AND(AG$4&gt;=$C27,AG$4&lt;=$D27),"■","")</x:f>
        <x:v>■</x:v>
      </x:c>
      <x:c r="AH27" s="50" t="str">
        <x:f>IF(AND(AH$4&gt;=$C27,AH$4&lt;=$D27),"■","")</x:f>
        <x:v>■</x:v>
      </x:c>
      <x:c r="AI27" s="50" t="str">
        <x:f>IF(AND(AI$4&gt;=$C27,AI$4&lt;=$D27),"■","")</x:f>
      </x:c>
    </x:row>
    <x:row r="28" ht="23" customHeight="1">
      <x:c r="A28" s="36" t="str">
        <x:f>'WBS'!A28</x:f>
        <x:v>3.11</x:v>
      </x:c>
      <x:c r="B28" s="28" t="str">
        <x:f>'WBS'!B28</x:f>
        <x:v>Test replay and idempotence</x:v>
      </x:c>
      <x:c r="C28" s="37" t="n">
        <x:f>'WBS'!D28</x:f>
        <x:v>46294</x:v>
      </x:c>
      <x:c r="D28" s="37" t="n">
        <x:f>'WBS'!E28</x:f>
        <x:v>46294</x:v>
      </x:c>
      <x:c r="E28" s="40" t="str">
        <x:f>'WBS'!F28</x:f>
        <x:v>Planned</x:v>
      </x:c>
      <x:c r="F28" s="50" t="str">
        <x:f>IF(AND(F$4&gt;=$C28,F$4&lt;=$D28),"■","")</x:f>
      </x:c>
      <x:c r="G28" s="50" t="str">
        <x:f>IF(AND(G$4&gt;=$C28,G$4&lt;=$D28),"■","")</x:f>
      </x:c>
      <x:c r="H28" s="50" t="str">
        <x:f>IF(AND(H$4&gt;=$C28,H$4&lt;=$D28),"■","")</x:f>
      </x:c>
      <x:c r="I28" s="50" t="str">
        <x:f>IF(AND(I$4&gt;=$C28,I$4&lt;=$D28),"■","")</x:f>
      </x:c>
      <x:c r="J28" s="50" t="str">
        <x:f>IF(AND(J$4&gt;=$C28,J$4&lt;=$D28),"■","")</x:f>
      </x:c>
      <x:c r="K28" s="50" t="str">
        <x:f>IF(AND(K$4&gt;=$C28,K$4&lt;=$D28),"■","")</x:f>
      </x:c>
      <x:c r="L28" s="50" t="str">
        <x:f>IF(AND(L$4&gt;=$C28,L$4&lt;=$D28),"■","")</x:f>
      </x:c>
      <x:c r="M28" s="50" t="str">
        <x:f>IF(AND(M$4&gt;=$C28,M$4&lt;=$D28),"■","")</x:f>
      </x:c>
      <x:c r="N28" s="50" t="str">
        <x:f>IF(AND(N$4&gt;=$C28,N$4&lt;=$D28),"■","")</x:f>
      </x:c>
      <x:c r="O28" s="50" t="str">
        <x:f>IF(AND(O$4&gt;=$C28,O$4&lt;=$D28),"■","")</x:f>
      </x:c>
      <x:c r="P28" s="50" t="str">
        <x:f>IF(AND(P$4&gt;=$C28,P$4&lt;=$D28),"■","")</x:f>
      </x:c>
      <x:c r="Q28" s="50" t="str">
        <x:f>IF(AND(Q$4&gt;=$C28,Q$4&lt;=$D28),"■","")</x:f>
      </x:c>
      <x:c r="R28" s="50" t="str">
        <x:f>IF(AND(R$4&gt;=$C28,R$4&lt;=$D28),"■","")</x:f>
      </x:c>
      <x:c r="S28" s="50" t="str">
        <x:f>IF(AND(S$4&gt;=$C28,S$4&lt;=$D28),"■","")</x:f>
      </x:c>
      <x:c r="T28" s="50" t="str">
        <x:f>IF(AND(T$4&gt;=$C28,T$4&lt;=$D28),"■","")</x:f>
      </x:c>
      <x:c r="U28" s="50" t="str">
        <x:f>IF(AND(U$4&gt;=$C28,U$4&lt;=$D28),"■","")</x:f>
      </x:c>
      <x:c r="V28" s="50" t="str">
        <x:f>IF(AND(V$4&gt;=$C28,V$4&lt;=$D28),"■","")</x:f>
      </x:c>
      <x:c r="W28" s="50" t="str">
        <x:f>IF(AND(W$4&gt;=$C28,W$4&lt;=$D28),"■","")</x:f>
      </x:c>
      <x:c r="X28" s="50" t="str">
        <x:f>IF(AND(X$4&gt;=$C28,X$4&lt;=$D28),"■","")</x:f>
      </x:c>
      <x:c r="Y28" s="50" t="str">
        <x:f>IF(AND(Y$4&gt;=$C28,Y$4&lt;=$D28),"■","")</x:f>
      </x:c>
      <x:c r="Z28" s="50" t="str">
        <x:f>IF(AND(Z$4&gt;=$C28,Z$4&lt;=$D28),"■","")</x:f>
      </x:c>
      <x:c r="AA28" s="50" t="str">
        <x:f>IF(AND(AA$4&gt;=$C28,AA$4&lt;=$D28),"■","")</x:f>
      </x:c>
      <x:c r="AB28" s="50" t="str">
        <x:f>IF(AND(AB$4&gt;=$C28,AB$4&lt;=$D28),"■","")</x:f>
      </x:c>
      <x:c r="AC28" s="50" t="str">
        <x:f>IF(AND(AC$4&gt;=$C28,AC$4&lt;=$D28),"■","")</x:f>
      </x:c>
      <x:c r="AD28" s="50" t="str">
        <x:f>IF(AND(AD$4&gt;=$C28,AD$4&lt;=$D28),"■","")</x:f>
      </x:c>
      <x:c r="AE28" s="50" t="str">
        <x:f>IF(AND(AE$4&gt;=$C28,AE$4&lt;=$D28),"■","")</x:f>
      </x:c>
      <x:c r="AF28" s="50" t="str">
        <x:f>IF(AND(AF$4&gt;=$C28,AF$4&lt;=$D28),"■","")</x:f>
      </x:c>
      <x:c r="AG28" s="50" t="str">
        <x:f>IF(AND(AG$4&gt;=$C28,AG$4&lt;=$D28),"■","")</x:f>
      </x:c>
      <x:c r="AH28" s="50" t="str">
        <x:f>IF(AND(AH$4&gt;=$C28,AH$4&lt;=$D28),"■","")</x:f>
        <x:v>■</x:v>
      </x:c>
      <x:c r="AI28" s="50" t="str">
        <x:f>IF(AND(AI$4&gt;=$C28,AI$4&lt;=$D28),"■","")</x:f>
      </x:c>
    </x:row>
    <x:row r="29" ht="23" customHeight="1">
      <x:c r="A29" s="34" t="str">
        <x:f>'WBS'!A29</x:f>
        <x:v>3.12</x:v>
      </x:c>
      <x:c r="B29" s="1" t="str">
        <x:f>'WBS'!B29</x:f>
        <x:v>Collect OPS and reconciliation outputs</x:v>
      </x:c>
      <x:c r="C29" s="18" t="n">
        <x:f>'WBS'!D29</x:f>
        <x:v>46294</x:v>
      </x:c>
      <x:c r="D29" s="18" t="n">
        <x:f>'WBS'!E29</x:f>
        <x:v>46294</x:v>
      </x:c>
      <x:c r="E29" s="40" t="str">
        <x:f>'WBS'!F29</x:f>
        <x:v>Planned</x:v>
      </x:c>
      <x:c r="F29" s="50" t="str">
        <x:f>IF(AND(F$4&gt;=$C29,F$4&lt;=$D29),"■","")</x:f>
      </x:c>
      <x:c r="G29" s="50" t="str">
        <x:f>IF(AND(G$4&gt;=$C29,G$4&lt;=$D29),"■","")</x:f>
      </x:c>
      <x:c r="H29" s="50" t="str">
        <x:f>IF(AND(H$4&gt;=$C29,H$4&lt;=$D29),"■","")</x:f>
      </x:c>
      <x:c r="I29" s="50" t="str">
        <x:f>IF(AND(I$4&gt;=$C29,I$4&lt;=$D29),"■","")</x:f>
      </x:c>
      <x:c r="J29" s="50" t="str">
        <x:f>IF(AND(J$4&gt;=$C29,J$4&lt;=$D29),"■","")</x:f>
      </x:c>
      <x:c r="K29" s="50" t="str">
        <x:f>IF(AND(K$4&gt;=$C29,K$4&lt;=$D29),"■","")</x:f>
      </x:c>
      <x:c r="L29" s="50" t="str">
        <x:f>IF(AND(L$4&gt;=$C29,L$4&lt;=$D29),"■","")</x:f>
      </x:c>
      <x:c r="M29" s="50" t="str">
        <x:f>IF(AND(M$4&gt;=$C29,M$4&lt;=$D29),"■","")</x:f>
      </x:c>
      <x:c r="N29" s="50" t="str">
        <x:f>IF(AND(N$4&gt;=$C29,N$4&lt;=$D29),"■","")</x:f>
      </x:c>
      <x:c r="O29" s="50" t="str">
        <x:f>IF(AND(O$4&gt;=$C29,O$4&lt;=$D29),"■","")</x:f>
      </x:c>
      <x:c r="P29" s="50" t="str">
        <x:f>IF(AND(P$4&gt;=$C29,P$4&lt;=$D29),"■","")</x:f>
      </x:c>
      <x:c r="Q29" s="50" t="str">
        <x:f>IF(AND(Q$4&gt;=$C29,Q$4&lt;=$D29),"■","")</x:f>
      </x:c>
      <x:c r="R29" s="50" t="str">
        <x:f>IF(AND(R$4&gt;=$C29,R$4&lt;=$D29),"■","")</x:f>
      </x:c>
      <x:c r="S29" s="50" t="str">
        <x:f>IF(AND(S$4&gt;=$C29,S$4&lt;=$D29),"■","")</x:f>
      </x:c>
      <x:c r="T29" s="50" t="str">
        <x:f>IF(AND(T$4&gt;=$C29,T$4&lt;=$D29),"■","")</x:f>
      </x:c>
      <x:c r="U29" s="50" t="str">
        <x:f>IF(AND(U$4&gt;=$C29,U$4&lt;=$D29),"■","")</x:f>
      </x:c>
      <x:c r="V29" s="50" t="str">
        <x:f>IF(AND(V$4&gt;=$C29,V$4&lt;=$D29),"■","")</x:f>
      </x:c>
      <x:c r="W29" s="50" t="str">
        <x:f>IF(AND(W$4&gt;=$C29,W$4&lt;=$D29),"■","")</x:f>
      </x:c>
      <x:c r="X29" s="50" t="str">
        <x:f>IF(AND(X$4&gt;=$C29,X$4&lt;=$D29),"■","")</x:f>
      </x:c>
      <x:c r="Y29" s="50" t="str">
        <x:f>IF(AND(Y$4&gt;=$C29,Y$4&lt;=$D29),"■","")</x:f>
      </x:c>
      <x:c r="Z29" s="50" t="str">
        <x:f>IF(AND(Z$4&gt;=$C29,Z$4&lt;=$D29),"■","")</x:f>
      </x:c>
      <x:c r="AA29" s="50" t="str">
        <x:f>IF(AND(AA$4&gt;=$C29,AA$4&lt;=$D29),"■","")</x:f>
      </x:c>
      <x:c r="AB29" s="50" t="str">
        <x:f>IF(AND(AB$4&gt;=$C29,AB$4&lt;=$D29),"■","")</x:f>
      </x:c>
      <x:c r="AC29" s="50" t="str">
        <x:f>IF(AND(AC$4&gt;=$C29,AC$4&lt;=$D29),"■","")</x:f>
      </x:c>
      <x:c r="AD29" s="50" t="str">
        <x:f>IF(AND(AD$4&gt;=$C29,AD$4&lt;=$D29),"■","")</x:f>
      </x:c>
      <x:c r="AE29" s="50" t="str">
        <x:f>IF(AND(AE$4&gt;=$C29,AE$4&lt;=$D29),"■","")</x:f>
      </x:c>
      <x:c r="AF29" s="50" t="str">
        <x:f>IF(AND(AF$4&gt;=$C29,AF$4&lt;=$D29),"■","")</x:f>
      </x:c>
      <x:c r="AG29" s="50" t="str">
        <x:f>IF(AND(AG$4&gt;=$C29,AG$4&lt;=$D29),"■","")</x:f>
      </x:c>
      <x:c r="AH29" s="50" t="str">
        <x:f>IF(AND(AH$4&gt;=$C29,AH$4&lt;=$D29),"■","")</x:f>
        <x:v>■</x:v>
      </x:c>
      <x:c r="AI29" s="50" t="str">
        <x:f>IF(AND(AI$4&gt;=$C29,AI$4&lt;=$D29),"■","")</x:f>
      </x:c>
    </x:row>
    <x:row r="30" ht="23" customHeight="1">
      <x:c r="A30" s="36" t="str">
        <x:f>'WBS'!A30</x:f>
        <x:v>4.1</x:v>
      </x:c>
      <x:c r="B30" s="28" t="str">
        <x:f>'WBS'!B30</x:f>
        <x:v>Attribute Databricks DBUs to runs</x:v>
      </x:c>
      <x:c r="C30" s="37" t="n">
        <x:f>'WBS'!D30</x:f>
        <x:v>46293</x:v>
      </x:c>
      <x:c r="D30" s="37" t="n">
        <x:f>'WBS'!E30</x:f>
        <x:v>46294</x:v>
      </x:c>
      <x:c r="E30" s="40" t="str">
        <x:f>'WBS'!F30</x:f>
        <x:v>Planned</x:v>
      </x:c>
      <x:c r="F30" s="50" t="str">
        <x:f>IF(AND(F$4&gt;=$C30,F$4&lt;=$D30),"■","")</x:f>
      </x:c>
      <x:c r="G30" s="50" t="str">
        <x:f>IF(AND(G$4&gt;=$C30,G$4&lt;=$D30),"■","")</x:f>
      </x:c>
      <x:c r="H30" s="50" t="str">
        <x:f>IF(AND(H$4&gt;=$C30,H$4&lt;=$D30),"■","")</x:f>
      </x:c>
      <x:c r="I30" s="50" t="str">
        <x:f>IF(AND(I$4&gt;=$C30,I$4&lt;=$D30),"■","")</x:f>
      </x:c>
      <x:c r="J30" s="50" t="str">
        <x:f>IF(AND(J$4&gt;=$C30,J$4&lt;=$D30),"■","")</x:f>
      </x:c>
      <x:c r="K30" s="50" t="str">
        <x:f>IF(AND(K$4&gt;=$C30,K$4&lt;=$D30),"■","")</x:f>
      </x:c>
      <x:c r="L30" s="50" t="str">
        <x:f>IF(AND(L$4&gt;=$C30,L$4&lt;=$D30),"■","")</x:f>
      </x:c>
      <x:c r="M30" s="50" t="str">
        <x:f>IF(AND(M$4&gt;=$C30,M$4&lt;=$D30),"■","")</x:f>
      </x:c>
      <x:c r="N30" s="50" t="str">
        <x:f>IF(AND(N$4&gt;=$C30,N$4&lt;=$D30),"■","")</x:f>
      </x:c>
      <x:c r="O30" s="50" t="str">
        <x:f>IF(AND(O$4&gt;=$C30,O$4&lt;=$D30),"■","")</x:f>
      </x:c>
      <x:c r="P30" s="50" t="str">
        <x:f>IF(AND(P$4&gt;=$C30,P$4&lt;=$D30),"■","")</x:f>
      </x:c>
      <x:c r="Q30" s="50" t="str">
        <x:f>IF(AND(Q$4&gt;=$C30,Q$4&lt;=$D30),"■","")</x:f>
      </x:c>
      <x:c r="R30" s="50" t="str">
        <x:f>IF(AND(R$4&gt;=$C30,R$4&lt;=$D30),"■","")</x:f>
      </x:c>
      <x:c r="S30" s="50" t="str">
        <x:f>IF(AND(S$4&gt;=$C30,S$4&lt;=$D30),"■","")</x:f>
      </x:c>
      <x:c r="T30" s="50" t="str">
        <x:f>IF(AND(T$4&gt;=$C30,T$4&lt;=$D30),"■","")</x:f>
      </x:c>
      <x:c r="U30" s="50" t="str">
        <x:f>IF(AND(U$4&gt;=$C30,U$4&lt;=$D30),"■","")</x:f>
      </x:c>
      <x:c r="V30" s="50" t="str">
        <x:f>IF(AND(V$4&gt;=$C30,V$4&lt;=$D30),"■","")</x:f>
      </x:c>
      <x:c r="W30" s="50" t="str">
        <x:f>IF(AND(W$4&gt;=$C30,W$4&lt;=$D30),"■","")</x:f>
      </x:c>
      <x:c r="X30" s="50" t="str">
        <x:f>IF(AND(X$4&gt;=$C30,X$4&lt;=$D30),"■","")</x:f>
      </x:c>
      <x:c r="Y30" s="50" t="str">
        <x:f>IF(AND(Y$4&gt;=$C30,Y$4&lt;=$D30),"■","")</x:f>
      </x:c>
      <x:c r="Z30" s="50" t="str">
        <x:f>IF(AND(Z$4&gt;=$C30,Z$4&lt;=$D30),"■","")</x:f>
      </x:c>
      <x:c r="AA30" s="50" t="str">
        <x:f>IF(AND(AA$4&gt;=$C30,AA$4&lt;=$D30),"■","")</x:f>
      </x:c>
      <x:c r="AB30" s="50" t="str">
        <x:f>IF(AND(AB$4&gt;=$C30,AB$4&lt;=$D30),"■","")</x:f>
      </x:c>
      <x:c r="AC30" s="50" t="str">
        <x:f>IF(AND(AC$4&gt;=$C30,AC$4&lt;=$D30),"■","")</x:f>
      </x:c>
      <x:c r="AD30" s="50" t="str">
        <x:f>IF(AND(AD$4&gt;=$C30,AD$4&lt;=$D30),"■","")</x:f>
      </x:c>
      <x:c r="AE30" s="50" t="str">
        <x:f>IF(AND(AE$4&gt;=$C30,AE$4&lt;=$D30),"■","")</x:f>
      </x:c>
      <x:c r="AF30" s="50" t="str">
        <x:f>IF(AND(AF$4&gt;=$C30,AF$4&lt;=$D30),"■","")</x:f>
      </x:c>
      <x:c r="AG30" s="50" t="str">
        <x:f>IF(AND(AG$4&gt;=$C30,AG$4&lt;=$D30),"■","")</x:f>
        <x:v>■</x:v>
      </x:c>
      <x:c r="AH30" s="50" t="str">
        <x:f>IF(AND(AH$4&gt;=$C30,AH$4&lt;=$D30),"■","")</x:f>
        <x:v>■</x:v>
      </x:c>
      <x:c r="AI30" s="50" t="str">
        <x:f>IF(AND(AI$4&gt;=$C30,AI$4&lt;=$D30),"■","")</x:f>
      </x:c>
    </x:row>
    <x:row r="31" ht="23" customHeight="1">
      <x:c r="A31" s="34" t="str">
        <x:f>'WBS'!A31</x:f>
        <x:v>4.2</x:v>
      </x:c>
      <x:c r="B31" s="1" t="str">
        <x:f>'WBS'!B31</x:f>
        <x:v>Collect GCP VM and storage charges</x:v>
      </x:c>
      <x:c r="C31" s="18" t="n">
        <x:f>'WBS'!D31</x:f>
        <x:v>46293</x:v>
      </x:c>
      <x:c r="D31" s="18" t="n">
        <x:f>'WBS'!E31</x:f>
        <x:v>46294</x:v>
      </x:c>
      <x:c r="E31" s="40" t="str">
        <x:f>'WBS'!F31</x:f>
        <x:v>Planned</x:v>
      </x:c>
      <x:c r="F31" s="50" t="str">
        <x:f>IF(AND(F$4&gt;=$C31,F$4&lt;=$D31),"■","")</x:f>
      </x:c>
      <x:c r="G31" s="50" t="str">
        <x:f>IF(AND(G$4&gt;=$C31,G$4&lt;=$D31),"■","")</x:f>
      </x:c>
      <x:c r="H31" s="50" t="str">
        <x:f>IF(AND(H$4&gt;=$C31,H$4&lt;=$D31),"■","")</x:f>
      </x:c>
      <x:c r="I31" s="50" t="str">
        <x:f>IF(AND(I$4&gt;=$C31,I$4&lt;=$D31),"■","")</x:f>
      </x:c>
      <x:c r="J31" s="50" t="str">
        <x:f>IF(AND(J$4&gt;=$C31,J$4&lt;=$D31),"■","")</x:f>
      </x:c>
      <x:c r="K31" s="50" t="str">
        <x:f>IF(AND(K$4&gt;=$C31,K$4&lt;=$D31),"■","")</x:f>
      </x:c>
      <x:c r="L31" s="50" t="str">
        <x:f>IF(AND(L$4&gt;=$C31,L$4&lt;=$D31),"■","")</x:f>
      </x:c>
      <x:c r="M31" s="50" t="str">
        <x:f>IF(AND(M$4&gt;=$C31,M$4&lt;=$D31),"■","")</x:f>
      </x:c>
      <x:c r="N31" s="50" t="str">
        <x:f>IF(AND(N$4&gt;=$C31,N$4&lt;=$D31),"■","")</x:f>
      </x:c>
      <x:c r="O31" s="50" t="str">
        <x:f>IF(AND(O$4&gt;=$C31,O$4&lt;=$D31),"■","")</x:f>
      </x:c>
      <x:c r="P31" s="50" t="str">
        <x:f>IF(AND(P$4&gt;=$C31,P$4&lt;=$D31),"■","")</x:f>
      </x:c>
      <x:c r="Q31" s="50" t="str">
        <x:f>IF(AND(Q$4&gt;=$C31,Q$4&lt;=$D31),"■","")</x:f>
      </x:c>
      <x:c r="R31" s="50" t="str">
        <x:f>IF(AND(R$4&gt;=$C31,R$4&lt;=$D31),"■","")</x:f>
      </x:c>
      <x:c r="S31" s="50" t="str">
        <x:f>IF(AND(S$4&gt;=$C31,S$4&lt;=$D31),"■","")</x:f>
      </x:c>
      <x:c r="T31" s="50" t="str">
        <x:f>IF(AND(T$4&gt;=$C31,T$4&lt;=$D31),"■","")</x:f>
      </x:c>
      <x:c r="U31" s="50" t="str">
        <x:f>IF(AND(U$4&gt;=$C31,U$4&lt;=$D31),"■","")</x:f>
      </x:c>
      <x:c r="V31" s="50" t="str">
        <x:f>IF(AND(V$4&gt;=$C31,V$4&lt;=$D31),"■","")</x:f>
      </x:c>
      <x:c r="W31" s="50" t="str">
        <x:f>IF(AND(W$4&gt;=$C31,W$4&lt;=$D31),"■","")</x:f>
      </x:c>
      <x:c r="X31" s="50" t="str">
        <x:f>IF(AND(X$4&gt;=$C31,X$4&lt;=$D31),"■","")</x:f>
      </x:c>
      <x:c r="Y31" s="50" t="str">
        <x:f>IF(AND(Y$4&gt;=$C31,Y$4&lt;=$D31),"■","")</x:f>
      </x:c>
      <x:c r="Z31" s="50" t="str">
        <x:f>IF(AND(Z$4&gt;=$C31,Z$4&lt;=$D31),"■","")</x:f>
      </x:c>
      <x:c r="AA31" s="50" t="str">
        <x:f>IF(AND(AA$4&gt;=$C31,AA$4&lt;=$D31),"■","")</x:f>
      </x:c>
      <x:c r="AB31" s="50" t="str">
        <x:f>IF(AND(AB$4&gt;=$C31,AB$4&lt;=$D31),"■","")</x:f>
      </x:c>
      <x:c r="AC31" s="50" t="str">
        <x:f>IF(AND(AC$4&gt;=$C31,AC$4&lt;=$D31),"■","")</x:f>
      </x:c>
      <x:c r="AD31" s="50" t="str">
        <x:f>IF(AND(AD$4&gt;=$C31,AD$4&lt;=$D31),"■","")</x:f>
      </x:c>
      <x:c r="AE31" s="50" t="str">
        <x:f>IF(AND(AE$4&gt;=$C31,AE$4&lt;=$D31),"■","")</x:f>
      </x:c>
      <x:c r="AF31" s="50" t="str">
        <x:f>IF(AND(AF$4&gt;=$C31,AF$4&lt;=$D31),"■","")</x:f>
      </x:c>
      <x:c r="AG31" s="50" t="str">
        <x:f>IF(AND(AG$4&gt;=$C31,AG$4&lt;=$D31),"■","")</x:f>
        <x:v>■</x:v>
      </x:c>
      <x:c r="AH31" s="50" t="str">
        <x:f>IF(AND(AH$4&gt;=$C31,AH$4&lt;=$D31),"■","")</x:f>
        <x:v>■</x:v>
      </x:c>
      <x:c r="AI31" s="50" t="str">
        <x:f>IF(AND(AI$4&gt;=$C31,AI$4&lt;=$D31),"■","")</x:f>
      </x:c>
    </x:row>
    <x:row r="32" ht="23" customHeight="1">
      <x:c r="A32" s="36" t="str">
        <x:f>'WBS'!A32</x:f>
        <x:v>4.3</x:v>
      </x:c>
      <x:c r="B32" s="28" t="str">
        <x:f>'WBS'!B32</x:f>
        <x:v>Compare compute scenarios fairly</x:v>
      </x:c>
      <x:c r="C32" s="37" t="n">
        <x:f>'WBS'!D32</x:f>
        <x:v>46293</x:v>
      </x:c>
      <x:c r="D32" s="37" t="n">
        <x:f>'WBS'!E32</x:f>
        <x:v>46294</x:v>
      </x:c>
      <x:c r="E32" s="40" t="str">
        <x:f>'WBS'!F32</x:f>
        <x:v>Planned</x:v>
      </x:c>
      <x:c r="F32" s="50" t="str">
        <x:f>IF(AND(F$4&gt;=$C32,F$4&lt;=$D32),"■","")</x:f>
      </x:c>
      <x:c r="G32" s="50" t="str">
        <x:f>IF(AND(G$4&gt;=$C32,G$4&lt;=$D32),"■","")</x:f>
      </x:c>
      <x:c r="H32" s="50" t="str">
        <x:f>IF(AND(H$4&gt;=$C32,H$4&lt;=$D32),"■","")</x:f>
      </x:c>
      <x:c r="I32" s="50" t="str">
        <x:f>IF(AND(I$4&gt;=$C32,I$4&lt;=$D32),"■","")</x:f>
      </x:c>
      <x:c r="J32" s="50" t="str">
        <x:f>IF(AND(J$4&gt;=$C32,J$4&lt;=$D32),"■","")</x:f>
      </x:c>
      <x:c r="K32" s="50" t="str">
        <x:f>IF(AND(K$4&gt;=$C32,K$4&lt;=$D32),"■","")</x:f>
      </x:c>
      <x:c r="L32" s="50" t="str">
        <x:f>IF(AND(L$4&gt;=$C32,L$4&lt;=$D32),"■","")</x:f>
      </x:c>
      <x:c r="M32" s="50" t="str">
        <x:f>IF(AND(M$4&gt;=$C32,M$4&lt;=$D32),"■","")</x:f>
      </x:c>
      <x:c r="N32" s="50" t="str">
        <x:f>IF(AND(N$4&gt;=$C32,N$4&lt;=$D32),"■","")</x:f>
      </x:c>
      <x:c r="O32" s="50" t="str">
        <x:f>IF(AND(O$4&gt;=$C32,O$4&lt;=$D32),"■","")</x:f>
      </x:c>
      <x:c r="P32" s="50" t="str">
        <x:f>IF(AND(P$4&gt;=$C32,P$4&lt;=$D32),"■","")</x:f>
      </x:c>
      <x:c r="Q32" s="50" t="str">
        <x:f>IF(AND(Q$4&gt;=$C32,Q$4&lt;=$D32),"■","")</x:f>
      </x:c>
      <x:c r="R32" s="50" t="str">
        <x:f>IF(AND(R$4&gt;=$C32,R$4&lt;=$D32),"■","")</x:f>
      </x:c>
      <x:c r="S32" s="50" t="str">
        <x:f>IF(AND(S$4&gt;=$C32,S$4&lt;=$D32),"■","")</x:f>
      </x:c>
      <x:c r="T32" s="50" t="str">
        <x:f>IF(AND(T$4&gt;=$C32,T$4&lt;=$D32),"■","")</x:f>
      </x:c>
      <x:c r="U32" s="50" t="str">
        <x:f>IF(AND(U$4&gt;=$C32,U$4&lt;=$D32),"■","")</x:f>
      </x:c>
      <x:c r="V32" s="50" t="str">
        <x:f>IF(AND(V$4&gt;=$C32,V$4&lt;=$D32),"■","")</x:f>
      </x:c>
      <x:c r="W32" s="50" t="str">
        <x:f>IF(AND(W$4&gt;=$C32,W$4&lt;=$D32),"■","")</x:f>
      </x:c>
      <x:c r="X32" s="50" t="str">
        <x:f>IF(AND(X$4&gt;=$C32,X$4&lt;=$D32),"■","")</x:f>
      </x:c>
      <x:c r="Y32" s="50" t="str">
        <x:f>IF(AND(Y$4&gt;=$C32,Y$4&lt;=$D32),"■","")</x:f>
      </x:c>
      <x:c r="Z32" s="50" t="str">
        <x:f>IF(AND(Z$4&gt;=$C32,Z$4&lt;=$D32),"■","")</x:f>
      </x:c>
      <x:c r="AA32" s="50" t="str">
        <x:f>IF(AND(AA$4&gt;=$C32,AA$4&lt;=$D32),"■","")</x:f>
      </x:c>
      <x:c r="AB32" s="50" t="str">
        <x:f>IF(AND(AB$4&gt;=$C32,AB$4&lt;=$D32),"■","")</x:f>
      </x:c>
      <x:c r="AC32" s="50" t="str">
        <x:f>IF(AND(AC$4&gt;=$C32,AC$4&lt;=$D32),"■","")</x:f>
      </x:c>
      <x:c r="AD32" s="50" t="str">
        <x:f>IF(AND(AD$4&gt;=$C32,AD$4&lt;=$D32),"■","")</x:f>
      </x:c>
      <x:c r="AE32" s="50" t="str">
        <x:f>IF(AND(AE$4&gt;=$C32,AE$4&lt;=$D32),"■","")</x:f>
      </x:c>
      <x:c r="AF32" s="50" t="str">
        <x:f>IF(AND(AF$4&gt;=$C32,AF$4&lt;=$D32),"■","")</x:f>
      </x:c>
      <x:c r="AG32" s="50" t="str">
        <x:f>IF(AND(AG$4&gt;=$C32,AG$4&lt;=$D32),"■","")</x:f>
        <x:v>■</x:v>
      </x:c>
      <x:c r="AH32" s="50" t="str">
        <x:f>IF(AND(AH$4&gt;=$C32,AH$4&lt;=$D32),"■","")</x:f>
        <x:v>■</x:v>
      </x:c>
      <x:c r="AI32" s="50" t="str">
        <x:f>IF(AND(AI$4&gt;=$C32,AI$4&lt;=$D32),"■","")</x:f>
      </x:c>
    </x:row>
    <x:row r="33" ht="23" customHeight="1">
      <x:c r="A33" s="34" t="str">
        <x:f>'WBS'!A33</x:f>
        <x:v>5.1</x:v>
      </x:c>
      <x:c r="B33" s="1" t="str">
        <x:f>'WBS'!B33</x:f>
        <x:v>Draft framing and architecture chapters</x:v>
      </x:c>
      <x:c r="C33" s="18" t="n">
        <x:f>'WBS'!D33</x:f>
        <x:v>46269</x:v>
      </x:c>
      <x:c r="D33" s="18" t="n">
        <x:f>'WBS'!E33</x:f>
        <x:v>46292</x:v>
      </x:c>
      <x:c r="E33" s="35" t="str">
        <x:f>'WBS'!F33</x:f>
        <x:v>Documented</x:v>
      </x:c>
      <x:c r="F33" s="47" t="str">
        <x:f>IF(AND(F$4&gt;=$C33,F$4&lt;=$D33),"■","")</x:f>
      </x:c>
      <x:c r="G33" s="47" t="str">
        <x:f>IF(AND(G$4&gt;=$C33,G$4&lt;=$D33),"■","")</x:f>
      </x:c>
      <x:c r="H33" s="47" t="str">
        <x:f>IF(AND(H$4&gt;=$C33,H$4&lt;=$D33),"■","")</x:f>
      </x:c>
      <x:c r="I33" s="47" t="str">
        <x:f>IF(AND(I$4&gt;=$C33,I$4&lt;=$D33),"■","")</x:f>
        <x:v>■</x:v>
      </x:c>
      <x:c r="J33" s="47" t="str">
        <x:f>IF(AND(J$4&gt;=$C33,J$4&lt;=$D33),"■","")</x:f>
        <x:v>■</x:v>
      </x:c>
      <x:c r="K33" s="47" t="str">
        <x:f>IF(AND(K$4&gt;=$C33,K$4&lt;=$D33),"■","")</x:f>
        <x:v>■</x:v>
      </x:c>
      <x:c r="L33" s="47" t="str">
        <x:f>IF(AND(L$4&gt;=$C33,L$4&lt;=$D33),"■","")</x:f>
        <x:v>■</x:v>
      </x:c>
      <x:c r="M33" s="47" t="str">
        <x:f>IF(AND(M$4&gt;=$C33,M$4&lt;=$D33),"■","")</x:f>
        <x:v>■</x:v>
      </x:c>
      <x:c r="N33" s="47" t="str">
        <x:f>IF(AND(N$4&gt;=$C33,N$4&lt;=$D33),"■","")</x:f>
        <x:v>■</x:v>
      </x:c>
      <x:c r="O33" s="47" t="str">
        <x:f>IF(AND(O$4&gt;=$C33,O$4&lt;=$D33),"■","")</x:f>
        <x:v>■</x:v>
      </x:c>
      <x:c r="P33" s="47" t="str">
        <x:f>IF(AND(P$4&gt;=$C33,P$4&lt;=$D33),"■","")</x:f>
        <x:v>■</x:v>
      </x:c>
      <x:c r="Q33" s="47" t="str">
        <x:f>IF(AND(Q$4&gt;=$C33,Q$4&lt;=$D33),"■","")</x:f>
        <x:v>■</x:v>
      </x:c>
      <x:c r="R33" s="47" t="str">
        <x:f>IF(AND(R$4&gt;=$C33,R$4&lt;=$D33),"■","")</x:f>
        <x:v>■</x:v>
      </x:c>
      <x:c r="S33" s="47" t="str">
        <x:f>IF(AND(S$4&gt;=$C33,S$4&lt;=$D33),"■","")</x:f>
        <x:v>■</x:v>
      </x:c>
      <x:c r="T33" s="47" t="str">
        <x:f>IF(AND(T$4&gt;=$C33,T$4&lt;=$D33),"■","")</x:f>
        <x:v>■</x:v>
      </x:c>
      <x:c r="U33" s="47" t="str">
        <x:f>IF(AND(U$4&gt;=$C33,U$4&lt;=$D33),"■","")</x:f>
        <x:v>■</x:v>
      </x:c>
      <x:c r="V33" s="47" t="str">
        <x:f>IF(AND(V$4&gt;=$C33,V$4&lt;=$D33),"■","")</x:f>
        <x:v>■</x:v>
      </x:c>
      <x:c r="W33" s="47" t="str">
        <x:f>IF(AND(W$4&gt;=$C33,W$4&lt;=$D33),"■","")</x:f>
        <x:v>■</x:v>
      </x:c>
      <x:c r="X33" s="47" t="str">
        <x:f>IF(AND(X$4&gt;=$C33,X$4&lt;=$D33),"■","")</x:f>
        <x:v>■</x:v>
      </x:c>
      <x:c r="Y33" s="47" t="str">
        <x:f>IF(AND(Y$4&gt;=$C33,Y$4&lt;=$D33),"■","")</x:f>
        <x:v>■</x:v>
      </x:c>
      <x:c r="Z33" s="47" t="str">
        <x:f>IF(AND(Z$4&gt;=$C33,Z$4&lt;=$D33),"■","")</x:f>
        <x:v>■</x:v>
      </x:c>
      <x:c r="AA33" s="47" t="str">
        <x:f>IF(AND(AA$4&gt;=$C33,AA$4&lt;=$D33),"■","")</x:f>
        <x:v>■</x:v>
      </x:c>
      <x:c r="AB33" s="47" t="str">
        <x:f>IF(AND(AB$4&gt;=$C33,AB$4&lt;=$D33),"■","")</x:f>
        <x:v>■</x:v>
      </x:c>
      <x:c r="AC33" s="47" t="str">
        <x:f>IF(AND(AC$4&gt;=$C33,AC$4&lt;=$D33),"■","")</x:f>
        <x:v>■</x:v>
      </x:c>
      <x:c r="AD33" s="47" t="str">
        <x:f>IF(AND(AD$4&gt;=$C33,AD$4&lt;=$D33),"■","")</x:f>
        <x:v>■</x:v>
      </x:c>
      <x:c r="AE33" s="47" t="str">
        <x:f>IF(AND(AE$4&gt;=$C33,AE$4&lt;=$D33),"■","")</x:f>
        <x:v>■</x:v>
      </x:c>
      <x:c r="AF33" s="47" t="str">
        <x:f>IF(AND(AF$4&gt;=$C33,AF$4&lt;=$D33),"■","")</x:f>
        <x:v>■</x:v>
      </x:c>
      <x:c r="AG33" s="47" t="str">
        <x:f>IF(AND(AG$4&gt;=$C33,AG$4&lt;=$D33),"■","")</x:f>
      </x:c>
      <x:c r="AH33" s="47" t="str">
        <x:f>IF(AND(AH$4&gt;=$C33,AH$4&lt;=$D33),"■","")</x:f>
      </x:c>
      <x:c r="AI33" s="47" t="str">
        <x:f>IF(AND(AI$4&gt;=$C33,AI$4&lt;=$D33),"■","")</x:f>
      </x:c>
    </x:row>
    <x:row r="34" ht="23" customHeight="1">
      <x:c r="A34" s="36" t="str">
        <x:f>'WBS'!A34</x:f>
        <x:v>5.2</x:v>
      </x:c>
      <x:c r="B34" s="28" t="str">
        <x:f>'WBS'!B34</x:f>
        <x:v>Draft implementation and analysis chapters</x:v>
      </x:c>
      <x:c r="C34" s="37" t="n">
        <x:f>'WBS'!D34</x:f>
        <x:v>46285</x:v>
      </x:c>
      <x:c r="D34" s="37" t="n">
        <x:f>'WBS'!E34</x:f>
        <x:v>46293</x:v>
      </x:c>
      <x:c r="E34" s="35" t="str">
        <x:f>'WBS'!F34</x:f>
        <x:v>Documented</x:v>
      </x:c>
      <x:c r="F34" s="47" t="str">
        <x:f>IF(AND(F$4&gt;=$C34,F$4&lt;=$D34),"■","")</x:f>
      </x:c>
      <x:c r="G34" s="47" t="str">
        <x:f>IF(AND(G$4&gt;=$C34,G$4&lt;=$D34),"■","")</x:f>
      </x:c>
      <x:c r="H34" s="47" t="str">
        <x:f>IF(AND(H$4&gt;=$C34,H$4&lt;=$D34),"■","")</x:f>
      </x:c>
      <x:c r="I34" s="47" t="str">
        <x:f>IF(AND(I$4&gt;=$C34,I$4&lt;=$D34),"■","")</x:f>
      </x:c>
      <x:c r="J34" s="47" t="str">
        <x:f>IF(AND(J$4&gt;=$C34,J$4&lt;=$D34),"■","")</x:f>
      </x:c>
      <x:c r="K34" s="47" t="str">
        <x:f>IF(AND(K$4&gt;=$C34,K$4&lt;=$D34),"■","")</x:f>
      </x:c>
      <x:c r="L34" s="47" t="str">
        <x:f>IF(AND(L$4&gt;=$C34,L$4&lt;=$D34),"■","")</x:f>
      </x:c>
      <x:c r="M34" s="47" t="str">
        <x:f>IF(AND(M$4&gt;=$C34,M$4&lt;=$D34),"■","")</x:f>
      </x:c>
      <x:c r="N34" s="47" t="str">
        <x:f>IF(AND(N$4&gt;=$C34,N$4&lt;=$D34),"■","")</x:f>
      </x:c>
      <x:c r="O34" s="47" t="str">
        <x:f>IF(AND(O$4&gt;=$C34,O$4&lt;=$D34),"■","")</x:f>
      </x:c>
      <x:c r="P34" s="47" t="str">
        <x:f>IF(AND(P$4&gt;=$C34,P$4&lt;=$D34),"■","")</x:f>
      </x:c>
      <x:c r="Q34" s="47" t="str">
        <x:f>IF(AND(Q$4&gt;=$C34,Q$4&lt;=$D34),"■","")</x:f>
      </x:c>
      <x:c r="R34" s="47" t="str">
        <x:f>IF(AND(R$4&gt;=$C34,R$4&lt;=$D34),"■","")</x:f>
      </x:c>
      <x:c r="S34" s="47" t="str">
        <x:f>IF(AND(S$4&gt;=$C34,S$4&lt;=$D34),"■","")</x:f>
      </x:c>
      <x:c r="T34" s="47" t="str">
        <x:f>IF(AND(T$4&gt;=$C34,T$4&lt;=$D34),"■","")</x:f>
      </x:c>
      <x:c r="U34" s="47" t="str">
        <x:f>IF(AND(U$4&gt;=$C34,U$4&lt;=$D34),"■","")</x:f>
      </x:c>
      <x:c r="V34" s="47" t="str">
        <x:f>IF(AND(V$4&gt;=$C34,V$4&lt;=$D34),"■","")</x:f>
      </x:c>
      <x:c r="W34" s="47" t="str">
        <x:f>IF(AND(W$4&gt;=$C34,W$4&lt;=$D34),"■","")</x:f>
      </x:c>
      <x:c r="X34" s="47" t="str">
        <x:f>IF(AND(X$4&gt;=$C34,X$4&lt;=$D34),"■","")</x:f>
      </x:c>
      <x:c r="Y34" s="47" t="str">
        <x:f>IF(AND(Y$4&gt;=$C34,Y$4&lt;=$D34),"■","")</x:f>
        <x:v>■</x:v>
      </x:c>
      <x:c r="Z34" s="47" t="str">
        <x:f>IF(AND(Z$4&gt;=$C34,Z$4&lt;=$D34),"■","")</x:f>
        <x:v>■</x:v>
      </x:c>
      <x:c r="AA34" s="47" t="str">
        <x:f>IF(AND(AA$4&gt;=$C34,AA$4&lt;=$D34),"■","")</x:f>
        <x:v>■</x:v>
      </x:c>
      <x:c r="AB34" s="47" t="str">
        <x:f>IF(AND(AB$4&gt;=$C34,AB$4&lt;=$D34),"■","")</x:f>
        <x:v>■</x:v>
      </x:c>
      <x:c r="AC34" s="47" t="str">
        <x:f>IF(AND(AC$4&gt;=$C34,AC$4&lt;=$D34),"■","")</x:f>
        <x:v>■</x:v>
      </x:c>
      <x:c r="AD34" s="47" t="str">
        <x:f>IF(AND(AD$4&gt;=$C34,AD$4&lt;=$D34),"■","")</x:f>
        <x:v>■</x:v>
      </x:c>
      <x:c r="AE34" s="47" t="str">
        <x:f>IF(AND(AE$4&gt;=$C34,AE$4&lt;=$D34),"■","")</x:f>
        <x:v>■</x:v>
      </x:c>
      <x:c r="AF34" s="47" t="str">
        <x:f>IF(AND(AF$4&gt;=$C34,AF$4&lt;=$D34),"■","")</x:f>
        <x:v>■</x:v>
      </x:c>
      <x:c r="AG34" s="47" t="str">
        <x:f>IF(AND(AG$4&gt;=$C34,AG$4&lt;=$D34),"■","")</x:f>
        <x:v>■</x:v>
      </x:c>
      <x:c r="AH34" s="47" t="str">
        <x:f>IF(AND(AH$4&gt;=$C34,AH$4&lt;=$D34),"■","")</x:f>
      </x:c>
      <x:c r="AI34" s="47" t="str">
        <x:f>IF(AND(AI$4&gt;=$C34,AI$4&lt;=$D34),"■","")</x:f>
      </x:c>
    </x:row>
    <x:row r="35" ht="23" customHeight="1">
      <x:c r="A35" s="34" t="str">
        <x:f>'WBS'!A35</x:f>
        <x:v>5.3</x:v>
      </x:c>
      <x:c r="B35" s="1" t="str">
        <x:f>'WBS'!B35</x:f>
        <x:v>Prepare ERD and evidence figures</x:v>
      </x:c>
      <x:c r="C35" s="18" t="n">
        <x:f>'WBS'!D35</x:f>
        <x:v>46293</x:v>
      </x:c>
      <x:c r="D35" s="18" t="n">
        <x:f>'WBS'!E35</x:f>
        <x:v>46294</x:v>
      </x:c>
      <x:c r="E35" s="40" t="str">
        <x:f>'WBS'!F35</x:f>
        <x:v>Planned</x:v>
      </x:c>
      <x:c r="F35" s="50" t="str">
        <x:f>IF(AND(F$4&gt;=$C35,F$4&lt;=$D35),"■","")</x:f>
      </x:c>
      <x:c r="G35" s="50" t="str">
        <x:f>IF(AND(G$4&gt;=$C35,G$4&lt;=$D35),"■","")</x:f>
      </x:c>
      <x:c r="H35" s="50" t="str">
        <x:f>IF(AND(H$4&gt;=$C35,H$4&lt;=$D35),"■","")</x:f>
      </x:c>
      <x:c r="I35" s="50" t="str">
        <x:f>IF(AND(I$4&gt;=$C35,I$4&lt;=$D35),"■","")</x:f>
      </x:c>
      <x:c r="J35" s="50" t="str">
        <x:f>IF(AND(J$4&gt;=$C35,J$4&lt;=$D35),"■","")</x:f>
      </x:c>
      <x:c r="K35" s="50" t="str">
        <x:f>IF(AND(K$4&gt;=$C35,K$4&lt;=$D35),"■","")</x:f>
      </x:c>
      <x:c r="L35" s="50" t="str">
        <x:f>IF(AND(L$4&gt;=$C35,L$4&lt;=$D35),"■","")</x:f>
      </x:c>
      <x:c r="M35" s="50" t="str">
        <x:f>IF(AND(M$4&gt;=$C35,M$4&lt;=$D35),"■","")</x:f>
      </x:c>
      <x:c r="N35" s="50" t="str">
        <x:f>IF(AND(N$4&gt;=$C35,N$4&lt;=$D35),"■","")</x:f>
      </x:c>
      <x:c r="O35" s="50" t="str">
        <x:f>IF(AND(O$4&gt;=$C35,O$4&lt;=$D35),"■","")</x:f>
      </x:c>
      <x:c r="P35" s="50" t="str">
        <x:f>IF(AND(P$4&gt;=$C35,P$4&lt;=$D35),"■","")</x:f>
      </x:c>
      <x:c r="Q35" s="50" t="str">
        <x:f>IF(AND(Q$4&gt;=$C35,Q$4&lt;=$D35),"■","")</x:f>
      </x:c>
      <x:c r="R35" s="50" t="str">
        <x:f>IF(AND(R$4&gt;=$C35,R$4&lt;=$D35),"■","")</x:f>
      </x:c>
      <x:c r="S35" s="50" t="str">
        <x:f>IF(AND(S$4&gt;=$C35,S$4&lt;=$D35),"■","")</x:f>
      </x:c>
      <x:c r="T35" s="50" t="str">
        <x:f>IF(AND(T$4&gt;=$C35,T$4&lt;=$D35),"■","")</x:f>
      </x:c>
      <x:c r="U35" s="50" t="str">
        <x:f>IF(AND(U$4&gt;=$C35,U$4&lt;=$D35),"■","")</x:f>
      </x:c>
      <x:c r="V35" s="50" t="str">
        <x:f>IF(AND(V$4&gt;=$C35,V$4&lt;=$D35),"■","")</x:f>
      </x:c>
      <x:c r="W35" s="50" t="str">
        <x:f>IF(AND(W$4&gt;=$C35,W$4&lt;=$D35),"■","")</x:f>
      </x:c>
      <x:c r="X35" s="50" t="str">
        <x:f>IF(AND(X$4&gt;=$C35,X$4&lt;=$D35),"■","")</x:f>
      </x:c>
      <x:c r="Y35" s="50" t="str">
        <x:f>IF(AND(Y$4&gt;=$C35,Y$4&lt;=$D35),"■","")</x:f>
      </x:c>
      <x:c r="Z35" s="50" t="str">
        <x:f>IF(AND(Z$4&gt;=$C35,Z$4&lt;=$D35),"■","")</x:f>
      </x:c>
      <x:c r="AA35" s="50" t="str">
        <x:f>IF(AND(AA$4&gt;=$C35,AA$4&lt;=$D35),"■","")</x:f>
      </x:c>
      <x:c r="AB35" s="50" t="str">
        <x:f>IF(AND(AB$4&gt;=$C35,AB$4&lt;=$D35),"■","")</x:f>
      </x:c>
      <x:c r="AC35" s="50" t="str">
        <x:f>IF(AND(AC$4&gt;=$C35,AC$4&lt;=$D35),"■","")</x:f>
      </x:c>
      <x:c r="AD35" s="50" t="str">
        <x:f>IF(AND(AD$4&gt;=$C35,AD$4&lt;=$D35),"■","")</x:f>
      </x:c>
      <x:c r="AE35" s="50" t="str">
        <x:f>IF(AND(AE$4&gt;=$C35,AE$4&lt;=$D35),"■","")</x:f>
      </x:c>
      <x:c r="AF35" s="50" t="str">
        <x:f>IF(AND(AF$4&gt;=$C35,AF$4&lt;=$D35),"■","")</x:f>
      </x:c>
      <x:c r="AG35" s="50" t="str">
        <x:f>IF(AND(AG$4&gt;=$C35,AG$4&lt;=$D35),"■","")</x:f>
        <x:v>■</x:v>
      </x:c>
      <x:c r="AH35" s="50" t="str">
        <x:f>IF(AND(AH$4&gt;=$C35,AH$4&lt;=$D35),"■","")</x:f>
        <x:v>■</x:v>
      </x:c>
      <x:c r="AI35" s="50" t="str">
        <x:f>IF(AND(AI$4&gt;=$C35,AI$4&lt;=$D35),"■","")</x:f>
      </x:c>
    </x:row>
    <x:row r="36" ht="23" customHeight="1">
      <x:c r="A36" s="36" t="str">
        <x:f>'WBS'!A36</x:f>
        <x:v>5.4</x:v>
      </x:c>
      <x:c r="B36" s="28" t="str">
        <x:f>'WBS'!B36</x:f>
        <x:v>Prepare project-management appendix</x:v>
      </x:c>
      <x:c r="C36" s="37" t="n">
        <x:f>'WBS'!D36</x:f>
        <x:v>46293</x:v>
      </x:c>
      <x:c r="D36" s="37" t="n">
        <x:f>'WBS'!E36</x:f>
        <x:v>46294</x:v>
      </x:c>
      <x:c r="E36" s="40" t="str">
        <x:f>'WBS'!F36</x:f>
        <x:v>Planned</x:v>
      </x:c>
      <x:c r="F36" s="50" t="str">
        <x:f>IF(AND(F$4&gt;=$C36,F$4&lt;=$D36),"■","")</x:f>
      </x:c>
      <x:c r="G36" s="50" t="str">
        <x:f>IF(AND(G$4&gt;=$C36,G$4&lt;=$D36),"■","")</x:f>
      </x:c>
      <x:c r="H36" s="50" t="str">
        <x:f>IF(AND(H$4&gt;=$C36,H$4&lt;=$D36),"■","")</x:f>
      </x:c>
      <x:c r="I36" s="50" t="str">
        <x:f>IF(AND(I$4&gt;=$C36,I$4&lt;=$D36),"■","")</x:f>
      </x:c>
      <x:c r="J36" s="50" t="str">
        <x:f>IF(AND(J$4&gt;=$C36,J$4&lt;=$D36),"■","")</x:f>
      </x:c>
      <x:c r="K36" s="50" t="str">
        <x:f>IF(AND(K$4&gt;=$C36,K$4&lt;=$D36),"■","")</x:f>
      </x:c>
      <x:c r="L36" s="50" t="str">
        <x:f>IF(AND(L$4&gt;=$C36,L$4&lt;=$D36),"■","")</x:f>
      </x:c>
      <x:c r="M36" s="50" t="str">
        <x:f>IF(AND(M$4&gt;=$C36,M$4&lt;=$D36),"■","")</x:f>
      </x:c>
      <x:c r="N36" s="50" t="str">
        <x:f>IF(AND(N$4&gt;=$C36,N$4&lt;=$D36),"■","")</x:f>
      </x:c>
      <x:c r="O36" s="50" t="str">
        <x:f>IF(AND(O$4&gt;=$C36,O$4&lt;=$D36),"■","")</x:f>
      </x:c>
      <x:c r="P36" s="50" t="str">
        <x:f>IF(AND(P$4&gt;=$C36,P$4&lt;=$D36),"■","")</x:f>
      </x:c>
      <x:c r="Q36" s="50" t="str">
        <x:f>IF(AND(Q$4&gt;=$C36,Q$4&lt;=$D36),"■","")</x:f>
      </x:c>
      <x:c r="R36" s="50" t="str">
        <x:f>IF(AND(R$4&gt;=$C36,R$4&lt;=$D36),"■","")</x:f>
      </x:c>
      <x:c r="S36" s="50" t="str">
        <x:f>IF(AND(S$4&gt;=$C36,S$4&lt;=$D36),"■","")</x:f>
      </x:c>
      <x:c r="T36" s="50" t="str">
        <x:f>IF(AND(T$4&gt;=$C36,T$4&lt;=$D36),"■","")</x:f>
      </x:c>
      <x:c r="U36" s="50" t="str">
        <x:f>IF(AND(U$4&gt;=$C36,U$4&lt;=$D36),"■","")</x:f>
      </x:c>
      <x:c r="V36" s="50" t="str">
        <x:f>IF(AND(V$4&gt;=$C36,V$4&lt;=$D36),"■","")</x:f>
      </x:c>
      <x:c r="W36" s="50" t="str">
        <x:f>IF(AND(W$4&gt;=$C36,W$4&lt;=$D36),"■","")</x:f>
      </x:c>
      <x:c r="X36" s="50" t="str">
        <x:f>IF(AND(X$4&gt;=$C36,X$4&lt;=$D36),"■","")</x:f>
      </x:c>
      <x:c r="Y36" s="50" t="str">
        <x:f>IF(AND(Y$4&gt;=$C36,Y$4&lt;=$D36),"■","")</x:f>
      </x:c>
      <x:c r="Z36" s="50" t="str">
        <x:f>IF(AND(Z$4&gt;=$C36,Z$4&lt;=$D36),"■","")</x:f>
      </x:c>
      <x:c r="AA36" s="50" t="str">
        <x:f>IF(AND(AA$4&gt;=$C36,AA$4&lt;=$D36),"■","")</x:f>
      </x:c>
      <x:c r="AB36" s="50" t="str">
        <x:f>IF(AND(AB$4&gt;=$C36,AB$4&lt;=$D36),"■","")</x:f>
      </x:c>
      <x:c r="AC36" s="50" t="str">
        <x:f>IF(AND(AC$4&gt;=$C36,AC$4&lt;=$D36),"■","")</x:f>
      </x:c>
      <x:c r="AD36" s="50" t="str">
        <x:f>IF(AND(AD$4&gt;=$C36,AD$4&lt;=$D36),"■","")</x:f>
      </x:c>
      <x:c r="AE36" s="50" t="str">
        <x:f>IF(AND(AE$4&gt;=$C36,AE$4&lt;=$D36),"■","")</x:f>
      </x:c>
      <x:c r="AF36" s="50" t="str">
        <x:f>IF(AND(AF$4&gt;=$C36,AF$4&lt;=$D36),"■","")</x:f>
      </x:c>
      <x:c r="AG36" s="50" t="str">
        <x:f>IF(AND(AG$4&gt;=$C36,AG$4&lt;=$D36),"■","")</x:f>
        <x:v>■</x:v>
      </x:c>
      <x:c r="AH36" s="50" t="str">
        <x:f>IF(AND(AH$4&gt;=$C36,AH$4&lt;=$D36),"■","")</x:f>
        <x:v>■</x:v>
      </x:c>
      <x:c r="AI36" s="50" t="str">
        <x:f>IF(AND(AI$4&gt;=$C36,AI$4&lt;=$D36),"■","")</x:f>
      </x:c>
    </x:row>
    <x:row r="37" ht="23" customHeight="1">
      <x:c r="A37" s="34" t="str">
        <x:f>'WBS'!A37</x:f>
        <x:v>5.5</x:v>
      </x:c>
      <x:c r="B37" s="1" t="str">
        <x:f>'WBS'!B37</x:f>
        <x:v>Proofread references and final PDF</x:v>
      </x:c>
      <x:c r="C37" s="18" t="n">
        <x:f>'WBS'!D37</x:f>
        <x:v>46294</x:v>
      </x:c>
      <x:c r="D37" s="18" t="n">
        <x:f>'WBS'!E37</x:f>
        <x:v>46294</x:v>
      </x:c>
      <x:c r="E37" s="40" t="str">
        <x:f>'WBS'!F37</x:f>
        <x:v>Planned</x:v>
      </x:c>
      <x:c r="F37" s="50" t="str">
        <x:f>IF(AND(F$4&gt;=$C37,F$4&lt;=$D37),"■","")</x:f>
      </x:c>
      <x:c r="G37" s="50" t="str">
        <x:f>IF(AND(G$4&gt;=$C37,G$4&lt;=$D37),"■","")</x:f>
      </x:c>
      <x:c r="H37" s="50" t="str">
        <x:f>IF(AND(H$4&gt;=$C37,H$4&lt;=$D37),"■","")</x:f>
      </x:c>
      <x:c r="I37" s="50" t="str">
        <x:f>IF(AND(I$4&gt;=$C37,I$4&lt;=$D37),"■","")</x:f>
      </x:c>
      <x:c r="J37" s="50" t="str">
        <x:f>IF(AND(J$4&gt;=$C37,J$4&lt;=$D37),"■","")</x:f>
      </x:c>
      <x:c r="K37" s="50" t="str">
        <x:f>IF(AND(K$4&gt;=$C37,K$4&lt;=$D37),"■","")</x:f>
      </x:c>
      <x:c r="L37" s="50" t="str">
        <x:f>IF(AND(L$4&gt;=$C37,L$4&lt;=$D37),"■","")</x:f>
      </x:c>
      <x:c r="M37" s="50" t="str">
        <x:f>IF(AND(M$4&gt;=$C37,M$4&lt;=$D37),"■","")</x:f>
      </x:c>
      <x:c r="N37" s="50" t="str">
        <x:f>IF(AND(N$4&gt;=$C37,N$4&lt;=$D37),"■","")</x:f>
      </x:c>
      <x:c r="O37" s="50" t="str">
        <x:f>IF(AND(O$4&gt;=$C37,O$4&lt;=$D37),"■","")</x:f>
      </x:c>
      <x:c r="P37" s="50" t="str">
        <x:f>IF(AND(P$4&gt;=$C37,P$4&lt;=$D37),"■","")</x:f>
      </x:c>
      <x:c r="Q37" s="50" t="str">
        <x:f>IF(AND(Q$4&gt;=$C37,Q$4&lt;=$D37),"■","")</x:f>
      </x:c>
      <x:c r="R37" s="50" t="str">
        <x:f>IF(AND(R$4&gt;=$C37,R$4&lt;=$D37),"■","")</x:f>
      </x:c>
      <x:c r="S37" s="50" t="str">
        <x:f>IF(AND(S$4&gt;=$C37,S$4&lt;=$D37),"■","")</x:f>
      </x:c>
      <x:c r="T37" s="50" t="str">
        <x:f>IF(AND(T$4&gt;=$C37,T$4&lt;=$D37),"■","")</x:f>
      </x:c>
      <x:c r="U37" s="50" t="str">
        <x:f>IF(AND(U$4&gt;=$C37,U$4&lt;=$D37),"■","")</x:f>
      </x:c>
      <x:c r="V37" s="50" t="str">
        <x:f>IF(AND(V$4&gt;=$C37,V$4&lt;=$D37),"■","")</x:f>
      </x:c>
      <x:c r="W37" s="50" t="str">
        <x:f>IF(AND(W$4&gt;=$C37,W$4&lt;=$D37),"■","")</x:f>
      </x:c>
      <x:c r="X37" s="50" t="str">
        <x:f>IF(AND(X$4&gt;=$C37,X$4&lt;=$D37),"■","")</x:f>
      </x:c>
      <x:c r="Y37" s="50" t="str">
        <x:f>IF(AND(Y$4&gt;=$C37,Y$4&lt;=$D37),"■","")</x:f>
      </x:c>
      <x:c r="Z37" s="50" t="str">
        <x:f>IF(AND(Z$4&gt;=$C37,Z$4&lt;=$D37),"■","")</x:f>
      </x:c>
      <x:c r="AA37" s="50" t="str">
        <x:f>IF(AND(AA$4&gt;=$C37,AA$4&lt;=$D37),"■","")</x:f>
      </x:c>
      <x:c r="AB37" s="50" t="str">
        <x:f>IF(AND(AB$4&gt;=$C37,AB$4&lt;=$D37),"■","")</x:f>
      </x:c>
      <x:c r="AC37" s="50" t="str">
        <x:f>IF(AND(AC$4&gt;=$C37,AC$4&lt;=$D37),"■","")</x:f>
      </x:c>
      <x:c r="AD37" s="50" t="str">
        <x:f>IF(AND(AD$4&gt;=$C37,AD$4&lt;=$D37),"■","")</x:f>
      </x:c>
      <x:c r="AE37" s="50" t="str">
        <x:f>IF(AND(AE$4&gt;=$C37,AE$4&lt;=$D37),"■","")</x:f>
      </x:c>
      <x:c r="AF37" s="50" t="str">
        <x:f>IF(AND(AF$4&gt;=$C37,AF$4&lt;=$D37),"■","")</x:f>
      </x:c>
      <x:c r="AG37" s="50" t="str">
        <x:f>IF(AND(AG$4&gt;=$C37,AG$4&lt;=$D37),"■","")</x:f>
      </x:c>
      <x:c r="AH37" s="50" t="str">
        <x:f>IF(AND(AH$4&gt;=$C37,AH$4&lt;=$D37),"■","")</x:f>
        <x:v>■</x:v>
      </x:c>
      <x:c r="AI37" s="50" t="str">
        <x:f>IF(AND(AI$4&gt;=$C37,AI$4&lt;=$D37),"■","")</x:f>
      </x:c>
    </x:row>
    <x:row r="38" ht="23" customHeight="1">
      <x:c r="A38" s="36" t="str">
        <x:f>'WBS'!A38</x:f>
        <x:v>5.6</x:v>
      </x:c>
      <x:c r="B38" s="28" t="str">
        <x:f>'WBS'!B38</x:f>
        <x:v>Submit manuscript</x:v>
      </x:c>
      <x:c r="C38" s="37" t="n">
        <x:f>'WBS'!D38</x:f>
        <x:v>46295</x:v>
      </x:c>
      <x:c r="D38" s="37" t="n">
        <x:f>'WBS'!E38</x:f>
        <x:v>46295</x:v>
      </x:c>
      <x:c r="E38" s="40" t="str">
        <x:f>'WBS'!F38</x:f>
        <x:v>Planned</x:v>
      </x:c>
      <x:c r="F38" s="50" t="str">
        <x:f>IF(AND(F$4&gt;=$C38,F$4&lt;=$D38),"■","")</x:f>
      </x:c>
      <x:c r="G38" s="50" t="str">
        <x:f>IF(AND(G$4&gt;=$C38,G$4&lt;=$D38),"■","")</x:f>
      </x:c>
      <x:c r="H38" s="50" t="str">
        <x:f>IF(AND(H$4&gt;=$C38,H$4&lt;=$D38),"■","")</x:f>
      </x:c>
      <x:c r="I38" s="50" t="str">
        <x:f>IF(AND(I$4&gt;=$C38,I$4&lt;=$D38),"■","")</x:f>
      </x:c>
      <x:c r="J38" s="50" t="str">
        <x:f>IF(AND(J$4&gt;=$C38,J$4&lt;=$D38),"■","")</x:f>
      </x:c>
      <x:c r="K38" s="50" t="str">
        <x:f>IF(AND(K$4&gt;=$C38,K$4&lt;=$D38),"■","")</x:f>
      </x:c>
      <x:c r="L38" s="50" t="str">
        <x:f>IF(AND(L$4&gt;=$C38,L$4&lt;=$D38),"■","")</x:f>
      </x:c>
      <x:c r="M38" s="50" t="str">
        <x:f>IF(AND(M$4&gt;=$C38,M$4&lt;=$D38),"■","")</x:f>
      </x:c>
      <x:c r="N38" s="50" t="str">
        <x:f>IF(AND(N$4&gt;=$C38,N$4&lt;=$D38),"■","")</x:f>
      </x:c>
      <x:c r="O38" s="50" t="str">
        <x:f>IF(AND(O$4&gt;=$C38,O$4&lt;=$D38),"■","")</x:f>
      </x:c>
      <x:c r="P38" s="50" t="str">
        <x:f>IF(AND(P$4&gt;=$C38,P$4&lt;=$D38),"■","")</x:f>
      </x:c>
      <x:c r="Q38" s="50" t="str">
        <x:f>IF(AND(Q$4&gt;=$C38,Q$4&lt;=$D38),"■","")</x:f>
      </x:c>
      <x:c r="R38" s="50" t="str">
        <x:f>IF(AND(R$4&gt;=$C38,R$4&lt;=$D38),"■","")</x:f>
      </x:c>
      <x:c r="S38" s="50" t="str">
        <x:f>IF(AND(S$4&gt;=$C38,S$4&lt;=$D38),"■","")</x:f>
      </x:c>
      <x:c r="T38" s="50" t="str">
        <x:f>IF(AND(T$4&gt;=$C38,T$4&lt;=$D38),"■","")</x:f>
      </x:c>
      <x:c r="U38" s="50" t="str">
        <x:f>IF(AND(U$4&gt;=$C38,U$4&lt;=$D38),"■","")</x:f>
      </x:c>
      <x:c r="V38" s="50" t="str">
        <x:f>IF(AND(V$4&gt;=$C38,V$4&lt;=$D38),"■","")</x:f>
      </x:c>
      <x:c r="W38" s="50" t="str">
        <x:f>IF(AND(W$4&gt;=$C38,W$4&lt;=$D38),"■","")</x:f>
      </x:c>
      <x:c r="X38" s="50" t="str">
        <x:f>IF(AND(X$4&gt;=$C38,X$4&lt;=$D38),"■","")</x:f>
      </x:c>
      <x:c r="Y38" s="50" t="str">
        <x:f>IF(AND(Y$4&gt;=$C38,Y$4&lt;=$D38),"■","")</x:f>
      </x:c>
      <x:c r="Z38" s="50" t="str">
        <x:f>IF(AND(Z$4&gt;=$C38,Z$4&lt;=$D38),"■","")</x:f>
      </x:c>
      <x:c r="AA38" s="50" t="str">
        <x:f>IF(AND(AA$4&gt;=$C38,AA$4&lt;=$D38),"■","")</x:f>
      </x:c>
      <x:c r="AB38" s="50" t="str">
        <x:f>IF(AND(AB$4&gt;=$C38,AB$4&lt;=$D38),"■","")</x:f>
      </x:c>
      <x:c r="AC38" s="50" t="str">
        <x:f>IF(AND(AC$4&gt;=$C38,AC$4&lt;=$D38),"■","")</x:f>
      </x:c>
      <x:c r="AD38" s="50" t="str">
        <x:f>IF(AND(AD$4&gt;=$C38,AD$4&lt;=$D38),"■","")</x:f>
      </x:c>
      <x:c r="AE38" s="50" t="str">
        <x:f>IF(AND(AE$4&gt;=$C38,AE$4&lt;=$D38),"■","")</x:f>
      </x:c>
      <x:c r="AF38" s="50" t="str">
        <x:f>IF(AND(AF$4&gt;=$C38,AF$4&lt;=$D38),"■","")</x:f>
      </x:c>
      <x:c r="AG38" s="50" t="str">
        <x:f>IF(AND(AG$4&gt;=$C38,AG$4&lt;=$D38),"■","")</x:f>
      </x:c>
      <x:c r="AH38" s="50" t="str">
        <x:f>IF(AND(AH$4&gt;=$C38,AH$4&lt;=$D38),"■","")</x:f>
      </x:c>
      <x:c r="AI38" s="50" t="str">
        <x:f>IF(AND(AI$4&gt;=$C38,AI$4&lt;=$D38),"■","")</x:f>
        <x:v>■</x:v>
      </x:c>
    </x:row>
  </x:sheetData>
  <x:pageMargins left="0.7" right="0.7" top="0.75" bottom="0.75" header="0.3" footer="0.3"/>
</x:worksheet>
</file>